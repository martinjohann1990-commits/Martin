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2.xml" ContentType="application/vnd.openxmlformats-officedocument.drawing+xml"/>
  <Override PartName="/xl/worksheets/sheet9.xml" ContentType="application/vnd.openxmlformats-officedocument.spreadsheetml.worksheet+xml"/>
  <Override PartName="/xl/drawings/drawing3.xml" ContentType="application/vnd.openxmlformats-officedocument.drawing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" sheetId="1" state="visible" r:id="rId1"/>
    <sheet name="DC_Stammdaten" sheetId="2" state="visible" r:id="rId2"/>
    <sheet name="Import_Historie" sheetId="3" state="visible" r:id="rId3"/>
    <sheet name="Import_Forecast" sheetId="4" state="visible" r:id="rId4"/>
    <sheet name="Import_Mapping" sheetId="5" state="visible" r:id="rId5"/>
    <sheet name="Zielreichweite" sheetId="6" state="visible" r:id="rId6"/>
    <sheet name="Simulation" sheetId="7" state="visible" r:id="rId7"/>
    <sheet name="Szenarien" sheetId="8" state="visible" r:id="rId8"/>
    <sheet name="Karte" sheetId="9" state="visible" r:id="rId9"/>
    <sheet name="Beispieldaten" sheetId="10" state="visible" r:id="rId10"/>
  </sheets>
  <definedNames>
    <definedName name="Pfad_Historie">Import_Mapping!$B$4</definedName>
    <definedName name="Pfad_Forecast">Import_Mapping!$B$5</definedName>
    <definedName name="Param_Trennzeichen">Import_Mapping!$B$6</definedName>
    <definedName name="Param_M3_pro_Palette">Import_Mapping!$B$7</definedName>
    <definedName name="Param_Quelltabelle">Import_Mapping!$B$8</definedName>
  </definedNames>
  <calcPr calcId="124519" fullCalcOnLoad="1"/>
</workbook>
</file>

<file path=xl/styles.xml><?xml version="1.0" encoding="utf-8"?>
<styleSheet xmlns="http://schemas.openxmlformats.org/spreadsheetml/2006/main">
  <numFmts count="8">
    <numFmt numFmtId="164" formatCode="0.0%"/>
    <numFmt numFmtId="165" formatCode="0.000"/>
    <numFmt numFmtId="166" formatCode="#,##0.00 &quot;€&quot;"/>
    <numFmt numFmtId="167" formatCode="DD.MM.YYYY"/>
    <numFmt numFmtId="168" formatCode="0.0000"/>
    <numFmt numFmtId="169" formatCode="#,##0.000 &quot;€&quot;"/>
    <numFmt numFmtId="170" formatCode="yyyy-mm-dd"/>
    <numFmt numFmtId="171" formatCode="0.000000"/>
  </numFmts>
  <fonts count="16">
    <font>
      <name val="Calibri"/>
      <family val="2"/>
      <color theme="1"/>
      <sz val="11"/>
      <scheme val="minor"/>
    </font>
    <font>
      <name val="Arial"/>
      <b val="1"/>
      <color rgb="001F3864"/>
      <sz val="16"/>
    </font>
    <font>
      <name val="Arial"/>
      <i val="1"/>
      <color rgb="00595959"/>
      <sz val="10"/>
    </font>
    <font>
      <name val="Arial"/>
      <b val="1"/>
      <color rgb="001F3864"/>
      <sz val="11"/>
    </font>
    <font>
      <name val="Arial"/>
      <b val="1"/>
      <color rgb="00FFFFFF"/>
      <sz val="10"/>
    </font>
    <font>
      <name val="Arial"/>
      <color rgb="00595959"/>
      <sz val="10"/>
    </font>
    <font>
      <name val="Arial"/>
      <b val="1"/>
      <color rgb="001F3864"/>
      <sz val="10"/>
    </font>
    <font>
      <name val="Arial"/>
      <b val="1"/>
      <color rgb="000000FF"/>
      <sz val="10"/>
    </font>
    <font>
      <name val="Arial"/>
      <color rgb="00008000"/>
      <sz val="10"/>
    </font>
    <font>
      <name val="Arial"/>
      <b val="1"/>
      <color rgb="001F3864"/>
      <sz val="22"/>
    </font>
    <font>
      <name val="Arial"/>
      <b val="1"/>
      <color rgb="001F3864"/>
      <sz val="14"/>
    </font>
    <font>
      <name val="Arial"/>
      <b val="1"/>
      <color rgb="002E75B6"/>
      <sz val="9"/>
    </font>
    <font>
      <name val="Arial"/>
      <color rgb="00595959"/>
      <sz val="8"/>
    </font>
    <font>
      <name val="Arial"/>
      <b val="1"/>
      <color rgb="00FFFFFF"/>
      <sz val="13"/>
    </font>
    <font>
      <name val="Arial"/>
      <i val="1"/>
      <color rgb="00595959"/>
      <sz val="9"/>
    </font>
    <font>
      <name val="Arial"/>
      <b val="1"/>
      <color rgb="00C00000"/>
      <sz val="10"/>
    </font>
  </fonts>
  <fills count="6">
    <fill>
      <patternFill/>
    </fill>
    <fill>
      <patternFill patternType="gray125"/>
    </fill>
    <fill>
      <patternFill patternType="solid">
        <fgColor rgb="001F3864"/>
      </patternFill>
    </fill>
    <fill>
      <patternFill patternType="solid">
        <fgColor rgb="00FFF2CC"/>
      </patternFill>
    </fill>
    <fill>
      <patternFill patternType="solid">
        <fgColor rgb="00DEEBF7"/>
      </patternFill>
    </fill>
    <fill>
      <patternFill patternType="solid">
        <fgColor rgb="0070AD47"/>
      </patternFill>
    </fill>
  </fills>
  <borders count="3">
    <border>
      <left/>
      <right/>
      <top/>
      <bottom/>
      <diagonal/>
    </border>
    <border/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</borders>
  <cellStyleXfs count="26">
    <xf numFmtId="0" fontId="0" fillId="0" borderId="0"/>
    <xf numFmtId="0" fontId="1" fillId="0" borderId="1" applyAlignment="1">
      <alignment horizontal="left" vertical="center"/>
    </xf>
    <xf numFmtId="0" fontId="2" fillId="0" borderId="1" applyAlignment="1">
      <alignment horizontal="left" vertical="center"/>
    </xf>
    <xf numFmtId="0" fontId="3" fillId="0" borderId="1" applyAlignment="1">
      <alignment horizontal="left" vertical="center"/>
    </xf>
    <xf numFmtId="0" fontId="4" fillId="2" borderId="2" applyAlignment="1">
      <alignment horizontal="center" vertical="center" wrapText="1"/>
    </xf>
    <xf numFmtId="0" fontId="5" fillId="0" borderId="2" applyAlignment="1">
      <alignment horizontal="left" vertical="center"/>
    </xf>
    <xf numFmtId="0" fontId="6" fillId="0" borderId="1" applyAlignment="1">
      <alignment horizontal="left" vertical="center"/>
    </xf>
    <xf numFmtId="4" fontId="7" fillId="3" borderId="2" applyAlignment="1">
      <alignment horizontal="right" vertical="center"/>
    </xf>
    <xf numFmtId="0" fontId="7" fillId="3" borderId="2" applyAlignment="1">
      <alignment horizontal="left" vertical="center"/>
    </xf>
    <xf numFmtId="164" fontId="7" fillId="3" borderId="2" applyAlignment="1">
      <alignment horizontal="right" vertical="center"/>
    </xf>
    <xf numFmtId="3" fontId="5" fillId="0" borderId="2" applyAlignment="1">
      <alignment horizontal="right" vertical="center"/>
    </xf>
    <xf numFmtId="4" fontId="5" fillId="0" borderId="2" applyAlignment="1">
      <alignment horizontal="right" vertical="center"/>
    </xf>
    <xf numFmtId="164" fontId="5" fillId="0" borderId="2" applyAlignment="1">
      <alignment horizontal="right" vertical="center"/>
    </xf>
    <xf numFmtId="165" fontId="5" fillId="0" borderId="2" applyAlignment="1">
      <alignment horizontal="right" vertical="center"/>
    </xf>
    <xf numFmtId="166" fontId="5" fillId="0" borderId="2" applyAlignment="1">
      <alignment horizontal="right" vertical="center"/>
    </xf>
    <xf numFmtId="167" fontId="5" fillId="0" borderId="2" applyAlignment="1">
      <alignment horizontal="right" vertical="center"/>
    </xf>
    <xf numFmtId="4" fontId="8" fillId="0" borderId="2" applyAlignment="1">
      <alignment horizontal="right" vertical="center"/>
    </xf>
    <xf numFmtId="0" fontId="8" fillId="0" borderId="2" applyAlignment="1">
      <alignment horizontal="left" vertical="center"/>
    </xf>
    <xf numFmtId="3" fontId="9" fillId="4" borderId="1" applyAlignment="1">
      <alignment horizontal="center" vertical="center"/>
    </xf>
    <xf numFmtId="0" fontId="10" fillId="4" borderId="1" applyAlignment="1">
      <alignment horizontal="center" vertical="center"/>
    </xf>
    <xf numFmtId="164" fontId="9" fillId="4" borderId="1" applyAlignment="1">
      <alignment horizontal="center" vertical="center"/>
    </xf>
    <xf numFmtId="0" fontId="11" fillId="4" borderId="1" applyAlignment="1">
      <alignment horizontal="center" vertical="center" wrapText="1"/>
    </xf>
    <xf numFmtId="0" fontId="12" fillId="4" borderId="1" applyAlignment="1">
      <alignment horizontal="center" vertical="center"/>
    </xf>
    <xf numFmtId="0" fontId="13" fillId="5" borderId="1" applyAlignment="1">
      <alignment horizontal="center" vertical="center"/>
    </xf>
    <xf numFmtId="0" fontId="14" fillId="0" borderId="1" applyAlignment="1">
      <alignment horizontal="left" vertical="top" wrapText="1"/>
    </xf>
    <xf numFmtId="0" fontId="15" fillId="0" borderId="1" applyAlignment="1">
      <alignment horizontal="left" vertical="center"/>
    </xf>
  </cellStyleXfs>
  <cellXfs count="34">
    <xf numFmtId="0" fontId="0" fillId="0" borderId="0" pivotButton="0" quotePrefix="0" xfId="0"/>
    <xf numFmtId="0" fontId="1" fillId="0" borderId="1" applyAlignment="1" pivotButton="0" quotePrefix="0" xfId="1">
      <alignment horizontal="left" vertical="center"/>
    </xf>
    <xf numFmtId="0" fontId="2" fillId="0" borderId="1" applyAlignment="1" pivotButton="0" quotePrefix="0" xfId="2">
      <alignment horizontal="left" vertical="center"/>
    </xf>
    <xf numFmtId="0" fontId="14" fillId="0" borderId="1" applyAlignment="1" pivotButton="0" quotePrefix="0" xfId="24">
      <alignment horizontal="left" vertical="top" wrapText="1"/>
    </xf>
    <xf numFmtId="0" fontId="11" fillId="4" borderId="1" applyAlignment="1" pivotButton="0" quotePrefix="0" xfId="21">
      <alignment horizontal="center" vertical="center" wrapText="1"/>
    </xf>
    <xf numFmtId="3" fontId="9" fillId="4" borderId="1" applyAlignment="1" pivotButton="0" quotePrefix="0" xfId="18">
      <alignment horizontal="center" vertical="center"/>
    </xf>
    <xf numFmtId="0" fontId="12" fillId="4" borderId="1" applyAlignment="1" pivotButton="0" quotePrefix="0" xfId="22">
      <alignment horizontal="center" vertical="center"/>
    </xf>
    <xf numFmtId="164" fontId="9" fillId="4" borderId="1" applyAlignment="1" pivotButton="0" quotePrefix="0" xfId="20">
      <alignment horizontal="center" vertical="center"/>
    </xf>
    <xf numFmtId="0" fontId="13" fillId="5" borderId="1" applyAlignment="1" pivotButton="0" quotePrefix="0" xfId="23">
      <alignment horizontal="center" vertical="center"/>
    </xf>
    <xf numFmtId="0" fontId="3" fillId="0" borderId="1" applyAlignment="1" pivotButton="0" quotePrefix="0" xfId="3">
      <alignment horizontal="left" vertical="center"/>
    </xf>
    <xf numFmtId="0" fontId="4" fillId="2" borderId="2" applyAlignment="1" pivotButton="0" quotePrefix="0" xfId="4">
      <alignment horizontal="center" vertical="center" wrapText="1"/>
    </xf>
    <xf numFmtId="167" fontId="5" fillId="0" borderId="2" applyAlignment="1" pivotButton="0" quotePrefix="0" xfId="15">
      <alignment horizontal="right" vertical="center"/>
    </xf>
    <xf numFmtId="4" fontId="5" fillId="0" borderId="2" applyAlignment="1" pivotButton="0" quotePrefix="0" xfId="11">
      <alignment horizontal="right" vertical="center"/>
    </xf>
    <xf numFmtId="166" fontId="5" fillId="0" borderId="2" applyAlignment="1" pivotButton="0" quotePrefix="0" xfId="14">
      <alignment horizontal="right" vertical="center"/>
    </xf>
    <xf numFmtId="3" fontId="5" fillId="0" borderId="2" applyAlignment="1" pivotButton="0" quotePrefix="0" xfId="10">
      <alignment horizontal="right" vertical="center"/>
    </xf>
    <xf numFmtId="0" fontId="7" fillId="3" borderId="2" applyAlignment="1" pivotButton="0" quotePrefix="0" xfId="8">
      <alignment horizontal="left" vertical="center"/>
    </xf>
    <xf numFmtId="168" fontId="7" fillId="3" borderId="2" applyAlignment="1" pivotButton="0" quotePrefix="0" xfId="7">
      <alignment horizontal="right" vertical="center"/>
    </xf>
    <xf numFmtId="3" fontId="7" fillId="3" borderId="2" applyAlignment="1" pivotButton="0" quotePrefix="0" xfId="7">
      <alignment horizontal="right" vertical="center"/>
    </xf>
    <xf numFmtId="166" fontId="7" fillId="3" borderId="2" applyAlignment="1" pivotButton="0" quotePrefix="0" xfId="7">
      <alignment horizontal="right" vertical="center"/>
    </xf>
    <xf numFmtId="169" fontId="7" fillId="3" borderId="2" applyAlignment="1" pivotButton="0" quotePrefix="0" xfId="7">
      <alignment horizontal="right" vertical="center"/>
    </xf>
    <xf numFmtId="0" fontId="5" fillId="0" borderId="2" applyAlignment="1" pivotButton="0" quotePrefix="0" xfId="5">
      <alignment horizontal="left" vertical="center"/>
    </xf>
    <xf numFmtId="0" fontId="6" fillId="0" borderId="1" applyAlignment="1" pivotButton="0" quotePrefix="0" xfId="6">
      <alignment horizontal="left" vertical="center"/>
    </xf>
    <xf numFmtId="2" fontId="7" fillId="3" borderId="2" applyAlignment="1" pivotButton="0" quotePrefix="0" xfId="7">
      <alignment horizontal="right" vertical="center"/>
    </xf>
    <xf numFmtId="164" fontId="7" fillId="3" borderId="2" applyAlignment="1" pivotButton="0" quotePrefix="0" xfId="9">
      <alignment horizontal="right" vertical="center"/>
    </xf>
    <xf numFmtId="164" fontId="5" fillId="0" borderId="2" applyAlignment="1" pivotButton="0" quotePrefix="0" xfId="12">
      <alignment horizontal="right" vertical="center"/>
    </xf>
    <xf numFmtId="0" fontId="8" fillId="0" borderId="2" applyAlignment="1" pivotButton="0" quotePrefix="0" xfId="17">
      <alignment horizontal="left" vertical="center"/>
    </xf>
    <xf numFmtId="3" fontId="8" fillId="0" borderId="2" applyAlignment="1" pivotButton="0" quotePrefix="0" xfId="16">
      <alignment horizontal="right" vertical="center"/>
    </xf>
    <xf numFmtId="168" fontId="8" fillId="0" borderId="2" applyAlignment="1" pivotButton="0" quotePrefix="0" xfId="16">
      <alignment horizontal="right" vertical="center"/>
    </xf>
    <xf numFmtId="4" fontId="8" fillId="0" borderId="2" applyAlignment="1" pivotButton="0" quotePrefix="0" xfId="16">
      <alignment horizontal="right" vertical="center"/>
    </xf>
    <xf numFmtId="0" fontId="15" fillId="0" borderId="1" applyAlignment="1" pivotButton="0" quotePrefix="0" xfId="25">
      <alignment horizontal="left" vertical="center"/>
    </xf>
    <xf numFmtId="168" fontId="5" fillId="0" borderId="2" applyAlignment="1" pivotButton="0" quotePrefix="0" xfId="11">
      <alignment horizontal="right" vertical="center"/>
    </xf>
    <xf numFmtId="1" fontId="7" fillId="3" borderId="2" applyAlignment="1" pivotButton="0" quotePrefix="0" xfId="7">
      <alignment horizontal="right" vertical="center"/>
    </xf>
    <xf numFmtId="165" fontId="5" fillId="0" borderId="2" applyAlignment="1" pivotButton="0" quotePrefix="0" xfId="13">
      <alignment horizontal="right" vertical="center"/>
    </xf>
    <xf numFmtId="171" fontId="5" fillId="0" borderId="2" applyAlignment="1" pivotButton="0" quotePrefix="0" xfId="13">
      <alignment horizontal="right" vertical="center"/>
    </xf>
  </cellXfs>
  <cellStyles count="26">
    <cellStyle name="Normal" xfId="0" builtinId="0" hidden="0"/>
    <cellStyle name="LNP_Titel" xfId="1" hidden="0"/>
    <cellStyle name="LNP_Untertitel" xfId="2" hidden="0"/>
    <cellStyle name="LNP_Abschnitt" xfId="3" hidden="0"/>
    <cellStyle name="LNP_TabKopf" xfId="4" hidden="0"/>
    <cellStyle name="LNP_Text" xfId="5" hidden="0"/>
    <cellStyle name="LNP_Label" xfId="6" hidden="0"/>
    <cellStyle name="LNP_Eingabe" xfId="7" hidden="0"/>
    <cellStyle name="LNP_EingabeText" xfId="8" hidden="0"/>
    <cellStyle name="LNP_EingabeProzent" xfId="9" hidden="0"/>
    <cellStyle name="LNP_Zahl" xfId="10" hidden="0"/>
    <cellStyle name="LNP_Zahl2" xfId="11" hidden="0"/>
    <cellStyle name="LNP_Prozent" xfId="12" hidden="0"/>
    <cellStyle name="LNP_Score" xfId="13" hidden="0"/>
    <cellStyle name="LNP_Euro" xfId="14" hidden="0"/>
    <cellStyle name="LNP_Datum" xfId="15" hidden="0"/>
    <cellStyle name="LNP_Verweis" xfId="16" hidden="0"/>
    <cellStyle name="LNP_VerweisText" xfId="17" hidden="0"/>
    <cellStyle name="LNP_KPI_Wert" xfId="18" hidden="0"/>
    <cellStyle name="LNP_KPI_WertText" xfId="19" hidden="0"/>
    <cellStyle name="LNP_KPI_WertProzent" xfId="20" hidden="0"/>
    <cellStyle name="LNP_KPI_Label" xfId="21" hidden="0"/>
    <cellStyle name="LNP_KPI_Fuss" xfId="22" hidden="0"/>
    <cellStyle name="LNP_Ergebnis" xfId="23" hidden="0"/>
    <cellStyle name="LNP_Hinweis" xfId="24" hidden="0"/>
    <cellStyle name="LNP_Warnung" xfId="25" hidden="0"/>
  </cellStyles>
  <dxfs count="1">
    <dxf>
      <font>
        <name val="Arial"/>
        <b val="1"/>
        <color rgb="009C0006"/>
      </font>
      <fill>
        <patternFill patternType="solid">
          <bgColor rgb="00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Id="rId13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style val="2"/>
  <chart>
    <title>
      <tx>
        <rich>
          <a:bodyPr/>
          <a:p>
            <a:pPr>
              <a:defRPr/>
            </a:pPr>
            <a:r>
              <a:t>Kapazität und Vorbelegung je DC (Paletten)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'DC_Stammdaten'!E5</f>
            </strRef>
          </tx>
          <spPr>
            <a:solidFill>
              <a:srgbClr val="2E75B6"/>
            </a:solidFill>
            <a:ln>
              <a:solidFill>
                <a:srgbClr val="2E75B6"/>
              </a:solidFill>
              <a:prstDash val="solid"/>
            </a:ln>
          </spPr>
          <cat>
            <numRef>
              <f>'DC_Stammdaten'!$A$6:$A$11</f>
            </numRef>
          </cat>
          <val>
            <numRef>
              <f>'DC_Stammdaten'!$E$6:$E$11</f>
            </numRef>
          </val>
        </ser>
        <ser>
          <idx val="1"/>
          <order val="1"/>
          <tx>
            <strRef>
              <f>'DC_Stammdaten'!I5</f>
            </strRef>
          </tx>
          <spPr>
            <a:solidFill>
              <a:srgbClr val="ED7D31"/>
            </a:solidFill>
            <a:ln>
              <a:solidFill>
                <a:srgbClr val="ED7D31"/>
              </a:solidFill>
              <a:prstDash val="solid"/>
            </a:ln>
          </spPr>
          <cat>
            <numRef>
              <f>'DC_Stammdaten'!$A$6:$A$11</f>
            </numRef>
          </cat>
          <val>
            <numRef>
              <f>'DC_Stammdaten'!$I$6:$I$11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style val="2"/>
  <chart>
    <title>
      <tx>
        <rich>
          <a:bodyPr/>
          <a:p>
            <a:pPr>
              <a:defRPr/>
            </a:pPr>
            <a:r>
              <a:t>Ziel-Bestand je Produktkategorie (Paletten)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'Zielreichweite'!F13</f>
            </strRef>
          </tx>
          <spPr>
            <a:solidFill>
              <a:srgbClr val="2E75B6"/>
            </a:solidFill>
            <a:ln>
              <a:solidFill>
                <a:srgbClr val="2E75B6"/>
              </a:solidFill>
              <a:prstDash val="solid"/>
            </a:ln>
          </spPr>
          <cat>
            <numRef>
              <f>'Zielreichweite'!$A$14:$A$18</f>
            </numRef>
          </cat>
          <val>
            <numRef>
              <f>'Zielreichweite'!$F$14:$F$18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style val="2"/>
  <chart>
    <title>
      <tx>
        <rich>
          <a:bodyPr/>
          <a:p>
            <a:pPr>
              <a:defRPr/>
            </a:pPr>
            <a:r>
              <a:t>Ø Bedarf/Tag je Region (gewählte Kategorie)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'Simulation'!I5</f>
            </strRef>
          </tx>
          <spPr>
            <a:solidFill>
              <a:srgbClr val="2E75B6"/>
            </a:solidFill>
            <a:ln>
              <a:solidFill>
                <a:srgbClr val="2E75B6"/>
              </a:solidFill>
              <a:prstDash val="solid"/>
            </a:ln>
          </spPr>
          <cat>
            <numRef>
              <f>'Simulation'!$F$6:$F$13</f>
            </numRef>
          </cat>
          <val>
            <numRef>
              <f>'Simulation'!$I$6:$I$13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style val="2"/>
  <chart>
    <title>
      <tx>
        <rich>
          <a:bodyPr/>
          <a:p>
            <a:pPr>
              <a:defRPr/>
            </a:pPr>
            <a:r>
              <a:t>Paletten-Äquivalent je Monat (Historie)</a:t>
            </a:r>
          </a:p>
        </rich>
      </tx>
    </title>
    <plotArea>
      <lineChart>
        <grouping val="standard"/>
        <ser>
          <idx val="0"/>
          <order val="0"/>
          <tx>
            <strRef>
              <f>'Dashboard'!C50</f>
            </strRef>
          </tx>
          <spPr>
            <a:solidFill>
              <a:srgbClr val="2E75B6"/>
            </a:solidFill>
            <a:ln>
              <a:solidFill>
                <a:srgbClr val="2E75B6"/>
              </a:solidFill>
              <a:prstDash val="solid"/>
            </a:ln>
          </spPr>
          <marker>
            <symbol val="circle"/>
            <size val="5"/>
            <spPr>
              <a:ln>
                <a:prstDash val="solid"/>
              </a:ln>
            </spPr>
          </marker>
          <cat>
            <numRef>
              <f>'Dashboard'!$A$51:$A$62</f>
            </numRef>
          </cat>
          <val>
            <numRef>
              <f>'Dashboard'!$C$51:$C$62</f>
            </numRef>
          </val>
        </ser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style val="2"/>
  <chart>
    <title>
      <tx>
        <rich>
          <a:bodyPr/>
          <a:p>
            <a:pPr>
              <a:defRPr/>
            </a:pPr>
            <a:r>
              <a:t>Gesamt-Score je DC über alle Szenarien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'Szenarien'!N6</f>
            </strRef>
          </tx>
          <spPr>
            <a:solidFill>
              <a:srgbClr val="2E75B6"/>
            </a:solidFill>
            <a:ln>
              <a:solidFill>
                <a:srgbClr val="2E75B6"/>
              </a:solidFill>
              <a:prstDash val="solid"/>
            </a:ln>
          </spPr>
          <cat>
            <numRef>
              <f>'Szenarien'!$A$7:$A$36</f>
            </numRef>
          </cat>
          <val>
            <numRef>
              <f>'Szenarien'!$N$7:$N$36</f>
            </numRef>
          </val>
        </ser>
        <ser>
          <idx val="1"/>
          <order val="1"/>
          <tx>
            <strRef>
              <f>'Szenarien'!O6</f>
            </strRef>
          </tx>
          <spPr>
            <a:solidFill>
              <a:srgbClr val="ED7D31"/>
            </a:solidFill>
            <a:ln>
              <a:solidFill>
                <a:srgbClr val="ED7D31"/>
              </a:solidFill>
              <a:prstDash val="solid"/>
            </a:ln>
          </spPr>
          <cat>
            <numRef>
              <f>'Szenarien'!$A$7:$A$36</f>
            </numRef>
          </cat>
          <val>
            <numRef>
              <f>'Szenarien'!$O$7:$O$36</f>
            </numRef>
          </val>
        </ser>
        <ser>
          <idx val="2"/>
          <order val="2"/>
          <tx>
            <strRef>
              <f>'Szenarien'!P6</f>
            </strRef>
          </tx>
          <spPr>
            <a:solidFill>
              <a:srgbClr val="70AD47"/>
            </a:solidFill>
            <a:ln>
              <a:solidFill>
                <a:srgbClr val="70AD47"/>
              </a:solidFill>
              <a:prstDash val="solid"/>
            </a:ln>
          </spPr>
          <cat>
            <numRef>
              <f>'Szenarien'!$A$7:$A$36</f>
            </numRef>
          </cat>
          <val>
            <numRef>
              <f>'Szenarien'!$P$7:$P$36</f>
            </numRef>
          </val>
        </ser>
        <ser>
          <idx val="3"/>
          <order val="3"/>
          <tx>
            <strRef>
              <f>'Szenarien'!Q6</f>
            </strRef>
          </tx>
          <spPr>
            <a:solidFill>
              <a:srgbClr val="1F3864"/>
            </a:solidFill>
            <a:ln>
              <a:solidFill>
                <a:srgbClr val="1F3864"/>
              </a:solidFill>
              <a:prstDash val="solid"/>
            </a:ln>
          </spPr>
          <cat>
            <numRef>
              <f>'Szenarien'!$A$7:$A$36</f>
            </numRef>
          </cat>
          <val>
            <numRef>
              <f>'Szenarien'!$Q$7:$Q$36</f>
            </numRef>
          </val>
        </ser>
        <ser>
          <idx val="4"/>
          <order val="4"/>
          <tx>
            <strRef>
              <f>'Szenarien'!R6</f>
            </strRef>
          </tx>
          <spPr>
            <a:solidFill>
              <a:srgbClr val="A5A5A5"/>
            </a:solidFill>
            <a:ln>
              <a:solidFill>
                <a:srgbClr val="A5A5A5"/>
              </a:solidFill>
              <a:prstDash val="solid"/>
            </a:ln>
          </spPr>
          <cat>
            <numRef>
              <f>'Szenarien'!$A$7:$A$36</f>
            </numRef>
          </cat>
          <val>
            <numRef>
              <f>'Szenarien'!$R$7:$R$36</f>
            </numRef>
          </val>
        </ser>
        <ser>
          <idx val="5"/>
          <order val="5"/>
          <tx>
            <strRef>
              <f>'Szenarien'!S6</f>
            </strRef>
          </tx>
          <spPr>
            <a:solidFill>
              <a:srgbClr val="FFC000"/>
            </a:solidFill>
            <a:ln>
              <a:solidFill>
                <a:srgbClr val="FFC000"/>
              </a:solidFill>
              <a:prstDash val="solid"/>
            </a:ln>
          </spPr>
          <cat>
            <numRef>
              <f>'Szenarien'!$A$7:$A$36</f>
            </numRef>
          </cat>
          <val>
            <numRef>
              <f>'Szenarien'!$S$7:$S$36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Szenario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Gesamt-Score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style val="2"/>
  <chart>
    <title>
      <tx>
        <rich>
          <a:bodyPr/>
          <a:p>
            <a:pPr>
              <a:defRPr/>
            </a:pPr>
            <a:r>
              <a:t>Standorte und Bedarfsschwerpunkte</a:t>
            </a:r>
          </a:p>
        </rich>
      </tx>
    </title>
    <plotArea>
      <bubbleChart>
        <ser>
          <idx val="0"/>
          <order val="0"/>
          <tx>
            <v>Distributionszentren</v>
          </tx>
          <spPr>
            <a:solidFill>
              <a:srgbClr val="2E75B6"/>
            </a:solidFill>
            <a:ln>
              <a:solidFill>
                <a:srgbClr val="2E75B6"/>
              </a:solidFill>
              <a:prstDash val="solid"/>
            </a:ln>
          </spPr>
          <xVal>
            <numRef>
              <f>'Karte'!$B$7:$B$12</f>
            </numRef>
          </xVal>
          <yVal>
            <numRef>
              <f>'Karte'!$C$7:$C$12</f>
            </numRef>
          </yVal>
          <bubbleSize>
            <numRef>
              <f>'Karte'!$D$7:$D$12</f>
            </numRef>
          </bubbleSize>
        </ser>
        <ser>
          <idx val="1"/>
          <order val="1"/>
          <tx>
            <v>Absatzregionen</v>
          </tx>
          <spPr>
            <a:solidFill>
              <a:srgbClr val="ED7D31"/>
            </a:solidFill>
            <a:ln>
              <a:solidFill>
                <a:srgbClr val="ED7D31"/>
              </a:solidFill>
              <a:prstDash val="solid"/>
            </a:ln>
          </spPr>
          <xVal>
            <numRef>
              <f>'Karte'!$G$7:$G$14</f>
            </numRef>
          </xVal>
          <yVal>
            <numRef>
              <f>'Karte'!$H$7:$H$14</f>
            </numRef>
          </yVal>
          <bubbleSize>
            <numRef>
              <f>'Karte'!$I$7:$I$14</f>
            </numRef>
          </bubbleSize>
        </ser>
        <dLbls>
          <showVal val="0"/>
          <showCatName val="0"/>
          <showSerName val="0"/>
        </dLbls>
        <axId val="10"/>
        <axId val="20"/>
      </bubbleChart>
      <valAx>
        <axId val="1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Longitude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Latitude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5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6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</col>
      <colOff>0</colOff>
      <row>16</row>
      <rowOff>0</rowOff>
    </from>
    <ext cx="5040000" cy="27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7</col>
      <colOff>0</colOff>
      <row>16</row>
      <rowOff>0</rowOff>
    </from>
    <ext cx="5040000" cy="270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</col>
      <colOff>0</colOff>
      <row>32</row>
      <rowOff>0</rowOff>
    </from>
    <ext cx="5040000" cy="270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  <oneCellAnchor>
    <from>
      <col>7</col>
      <colOff>0</colOff>
      <row>32</row>
      <rowOff>0</rowOff>
    </from>
    <ext cx="5040000" cy="2700000"/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one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38</row>
      <rowOff>0</rowOff>
    </from>
    <ext cx="8640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16</row>
      <rowOff>0</rowOff>
    </from>
    <ext cx="7920000" cy="43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ables/table1.xml><?xml version="1.0" encoding="utf-8"?>
<table xmlns="http://schemas.openxmlformats.org/spreadsheetml/2006/main" id="1" name="tblDC" displayName="tblDC" ref="A5:J11" headerRowCount="1">
  <autoFilter ref="A5:J11"/>
  <tableColumns count="10">
    <tableColumn id="1" name="DC-Name"/>
    <tableColumn id="2" name="Region/Land"/>
    <tableColumn id="3" name="Latitude"/>
    <tableColumn id="4" name="Longitude"/>
    <tableColumn id="5" name="Kapazität (Paletten)"/>
    <tableColumn id="6" name="Lagerkosten (€/Palette/Periode)"/>
    <tableColumn id="7" name="Transportkosten-Basis (€/Palette)"/>
    <tableColumn id="8" name="Transportkosten (€/km/Palette)"/>
    <tableColumn id="9" name="Vorbelegung (Paletten)"/>
    <tableColumn id="10" name="aktiv (Ja/Nein)"/>
  </tableColumns>
  <tableStyleInfo name="TableStyleMedium2" showRowStripes="1" showColumnStripes="0"/>
</table>
</file>

<file path=xl/tables/table2.xml><?xml version="1.0" encoding="utf-8"?>
<table xmlns="http://schemas.openxmlformats.org/spreadsheetml/2006/main" id="2" name="tblRegionen" displayName="tblRegionen" ref="M5:P13" headerRowCount="1">
  <autoFilter ref="M5:P13"/>
  <tableColumns count="4">
    <tableColumn id="13" name="Region"/>
    <tableColumn id="14" name="Land"/>
    <tableColumn id="15" name="Latitude"/>
    <tableColumn id="16" name="Longitude"/>
  </tableColumns>
  <tableStyleInfo name="TableStyleMedium7" showRowStripes="1" showColumnStripes="0"/>
</table>
</file>

<file path=xl/tables/table3.xml><?xml version="1.0" encoding="utf-8"?>
<table xmlns="http://schemas.openxmlformats.org/spreadsheetml/2006/main" id="3" name="tblHistorie" displayName="tblHistorie" ref="A4:I484" headerRowCount="1">
  <autoFilter ref="A4:I484"/>
  <tableColumns count="9">
    <tableColumn id="1" name="Datum"/>
    <tableColumn id="2" name="Kunde"/>
    <tableColumn id="3" name="Land/Region"/>
    <tableColumn id="4" name="Produktkategorie"/>
    <tableColumn id="5" name="Menge (Stück)"/>
    <tableColumn id="6" name="EUR-Umsatz"/>
    <tableColumn id="7" name="Transportvolumen"/>
    <tableColumn id="8" name="Paletten"/>
    <tableColumn id="9" name="Paletten-Äquivalent"/>
  </tableColumns>
  <tableStyleInfo name="TableStyleMedium2" showRowStripes="1" showColumnStripes="0"/>
</table>
</file>

<file path=xl/tables/table4.xml><?xml version="1.0" encoding="utf-8"?>
<table xmlns="http://schemas.openxmlformats.org/spreadsheetml/2006/main" id="4" name="tblForecast" displayName="tblForecast" ref="A4:I244" headerRowCount="1">
  <autoFilter ref="A4:I244"/>
  <tableColumns count="9">
    <tableColumn id="1" name="Datum"/>
    <tableColumn id="2" name="Kunde"/>
    <tableColumn id="3" name="Land/Region"/>
    <tableColumn id="4" name="Produktkategorie"/>
    <tableColumn id="5" name="Menge (Stück)"/>
    <tableColumn id="6" name="EUR-Umsatz"/>
    <tableColumn id="7" name="Transportvolumen"/>
    <tableColumn id="8" name="Paletten"/>
    <tableColumn id="9" name="Paletten-Äquivalent"/>
  </tableColumns>
  <tableStyleInfo name="TableStyleMedium2" showRowStripes="1" showColumnStripes="0"/>
</table>
</file>

<file path=xl/tables/table5.xml><?xml version="1.0" encoding="utf-8"?>
<table xmlns="http://schemas.openxmlformats.org/spreadsheetml/2006/main" id="5" name="tblMapping" displayName="tblMapping" ref="A11:D19" headerRowCount="1">
  <autoFilter ref="A11:D19"/>
  <tableColumns count="4">
    <tableColumn id="1" name="Zielfeld"/>
    <tableColumn id="2" name="Quellspalte Historie"/>
    <tableColumn id="3" name="Quellspalte Forecast"/>
    <tableColumn id="4" name="Hinweis"/>
  </tableColumns>
  <tableStyleInfo name="TableStyleMedium2" showRowStripes="1" showColumnStripes="0"/>
</table>
</file>

<file path=xl/tables/table6.xml><?xml version="1.0" encoding="utf-8"?>
<table xmlns="http://schemas.openxmlformats.org/spreadsheetml/2006/main" id="6" name="tblZielreichweite" displayName="tblZielreichweite" ref="A13:F18" headerRowCount="1">
  <autoFilter ref="A13:F18"/>
  <tableColumns count="6">
    <tableColumn id="1" name="Produktkategorie"/>
    <tableColumn id="2" name="Ziel-Reichweite (Tage)"/>
    <tableColumn id="3" name="Ø Bedarf/Tag Historie (Pal.)"/>
    <tableColumn id="4" name="Ø Bedarf/Tag Forecast (Pal.)"/>
    <tableColumn id="5" name="Ø Bedarf/Tag Basis (Pal.)"/>
    <tableColumn id="6" name="Ziel-Bestand (Paletten)"/>
  </tableColumns>
  <tableStyleInfo name="TableStyleMedium2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table" Target="/xl/tables/table1.xml" Id="rId1" /><Relationship Type="http://schemas.openxmlformats.org/officeDocument/2006/relationships/table" Target="/xl/tables/table2.xml" Id="rId2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L62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15" customWidth="1" min="2" max="2"/>
    <col width="15" customWidth="1" min="3" max="3"/>
    <col width="15" customWidth="1" min="4" max="4"/>
    <col width="3" customWidth="1" min="5" max="5"/>
    <col width="15" customWidth="1" min="6" max="6"/>
    <col width="15" customWidth="1" min="7" max="7"/>
    <col width="15" customWidth="1" min="8" max="8"/>
    <col width="3" customWidth="1" min="9" max="9"/>
    <col width="15" customWidth="1" min="10" max="10"/>
    <col width="15" customWidth="1" min="11" max="11"/>
    <col width="15" customWidth="1" min="12" max="12"/>
    <col width="3" customWidth="1" min="13" max="13"/>
  </cols>
  <sheetData>
    <row r="1" ht="24" customHeight="1">
      <c r="A1" s="1" t="inlineStr">
        <is>
          <t>Logistik-Netzwerkplanung – Start</t>
        </is>
      </c>
    </row>
    <row r="2">
      <c r="A2" s="2" t="inlineStr">
        <is>
          <t>Entscheidungshilfe: In welchem Distributionszentrum wird welche Produktkategorie gelagert?</t>
        </is>
      </c>
    </row>
    <row r="4">
      <c r="B4" s="3" t="inlineStr">
        <is>
          <t>Navigation (die Schaltflächen legt das Makro beim Öffnen an)</t>
        </is>
      </c>
    </row>
    <row r="5" ht="30" customHeight="1"/>
    <row r="7">
      <c r="B7" s="4" t="inlineStr">
        <is>
          <t>Bewegungszeilen Historie</t>
        </is>
      </c>
      <c r="C7" s="4" t="n"/>
      <c r="D7" s="4" t="n"/>
      <c r="F7" s="4" t="inlineStr">
        <is>
          <t>Paletten-Äquivalent Historie</t>
        </is>
      </c>
      <c r="G7" s="4" t="n"/>
      <c r="H7" s="4" t="n"/>
      <c r="J7" s="4" t="inlineStr">
        <is>
          <t>Umsatz Historie</t>
        </is>
      </c>
      <c r="K7" s="4" t="n"/>
      <c r="L7" s="4" t="n"/>
    </row>
    <row r="8" ht="34" customHeight="1">
      <c r="B8" s="5">
        <f>Zielreichweite!$B$10</f>
        <v/>
      </c>
      <c r="C8" s="5" t="n"/>
      <c r="D8" s="5" t="n"/>
      <c r="F8" s="5">
        <f>SUM(Import_Historie!$I$5:$I$5004)</f>
        <v/>
      </c>
      <c r="G8" s="5" t="n"/>
      <c r="H8" s="5" t="n"/>
      <c r="J8" s="5">
        <f>SUM(Import_Historie!$F$5:$F$5004)</f>
        <v/>
      </c>
      <c r="K8" s="5" t="n"/>
      <c r="L8" s="5" t="n"/>
    </row>
    <row r="9" ht="22" customHeight="1">
      <c r="B9" s="6" t="inlineStr">
        <is>
          <t>Zeilen im Import</t>
        </is>
      </c>
      <c r="C9" s="6" t="n"/>
      <c r="D9" s="6" t="n"/>
      <c r="F9" s="6" t="inlineStr">
        <is>
          <t>Summe über den Zeitraum</t>
        </is>
      </c>
      <c r="G9" s="6" t="n"/>
      <c r="H9" s="6" t="n"/>
      <c r="J9" s="6" t="inlineStr">
        <is>
          <t>EUR über den Zeitraum</t>
        </is>
      </c>
      <c r="K9" s="6" t="n"/>
      <c r="L9" s="6" t="n"/>
    </row>
    <row r="11">
      <c r="B11" s="4" t="inlineStr">
        <is>
          <t>Ø Bedarf/Tag alle Kategorien</t>
        </is>
      </c>
      <c r="C11" s="4" t="n"/>
      <c r="D11" s="4" t="n"/>
      <c r="F11" s="4" t="inlineStr">
        <is>
          <t>Ziel-Bestand gesamt</t>
        </is>
      </c>
      <c r="G11" s="4" t="n"/>
      <c r="H11" s="4" t="n"/>
      <c r="J11" s="4" t="inlineStr">
        <is>
          <t>Ø Auslastung aktive DCs</t>
        </is>
      </c>
      <c r="K11" s="4" t="n"/>
      <c r="L11" s="4" t="n"/>
    </row>
    <row r="12" ht="34" customHeight="1">
      <c r="B12" s="5">
        <f>SUM(Zielreichweite!$E$14:$E$18)</f>
        <v/>
      </c>
      <c r="C12" s="5" t="n"/>
      <c r="D12" s="5" t="n"/>
      <c r="F12" s="5">
        <f>SUM(Zielreichweite!$F$14:$F$18)</f>
        <v/>
      </c>
      <c r="G12" s="5" t="n"/>
      <c r="H12" s="5" t="n"/>
      <c r="J12" s="7">
        <f>IFERROR(SUMIFS(DC_Stammdaten!$I$6:$I$25,DC_Stammdaten!$J$6:$J$25,"Ja")/SUMIFS(DC_Stammdaten!$E$6:$E$25,DC_Stammdaten!$J$6:$J$25,"Ja"),0)</f>
        <v/>
      </c>
      <c r="K12" s="7" t="n"/>
      <c r="L12" s="7" t="n"/>
    </row>
    <row r="13" ht="22" customHeight="1">
      <c r="B13" s="6" t="inlineStr">
        <is>
          <t>Paletten pro Tag</t>
        </is>
      </c>
      <c r="C13" s="6" t="n"/>
      <c r="D13" s="6" t="n"/>
      <c r="F13" s="6" t="inlineStr">
        <is>
          <t>Paletten laut Zielreichweite</t>
        </is>
      </c>
      <c r="G13" s="6" t="n"/>
      <c r="H13" s="6" t="n"/>
      <c r="J13" s="6" t="inlineStr">
        <is>
          <t>Vorbelegung / Kapazität</t>
        </is>
      </c>
      <c r="K13" s="6" t="n"/>
      <c r="L13" s="6" t="n"/>
    </row>
    <row r="15" ht="28" customHeight="1">
      <c r="B15" s="8">
        <f>"Aktuelle Empfehlung für "&amp;Simulation!$B$4&amp;": "&amp;Simulation!$B$30&amp;"   |   Gesamt-Score "&amp;TEXT(Simulation!$D$30,"0.000")&amp;"   |   Modus: "&amp;Simulation!$B$15</f>
        <v/>
      </c>
      <c r="C15" s="8" t="n"/>
      <c r="D15" s="8" t="n"/>
      <c r="E15" s="8" t="n"/>
      <c r="F15" s="8" t="n"/>
      <c r="G15" s="8" t="n"/>
      <c r="H15" s="8" t="n"/>
      <c r="I15" s="8" t="n"/>
      <c r="J15" s="8" t="n"/>
      <c r="K15" s="8" t="n"/>
      <c r="L15" s="8" t="n"/>
    </row>
    <row r="48">
      <c r="A48" s="9" t="inlineStr">
        <is>
          <t>Datenbasis für die Sparklines der KPI-Kacheln</t>
        </is>
      </c>
    </row>
    <row r="49">
      <c r="A49" s="3" t="inlineStr">
        <is>
          <t>Zwölf Monate ab dem ersten Datum der Historie. Die Sparklines legt das Makro Setup_Arbeitsmappe an.</t>
        </is>
      </c>
    </row>
    <row r="50" ht="30" customHeight="1">
      <c r="A50" s="10" t="inlineStr">
        <is>
          <t>Monat</t>
        </is>
      </c>
      <c r="B50" s="10" t="inlineStr">
        <is>
          <t>bis (exkl.)</t>
        </is>
      </c>
      <c r="C50" s="10" t="inlineStr">
        <is>
          <t>Paletten-Äquivalent</t>
        </is>
      </c>
      <c r="D50" s="10" t="inlineStr">
        <is>
          <t>EUR-Umsatz</t>
        </is>
      </c>
      <c r="E50" s="10" t="inlineStr">
        <is>
          <t>Ø Bedarf/Tag (Pal.)</t>
        </is>
      </c>
      <c r="F50" s="10" t="inlineStr">
        <is>
          <t>Bewegungszeilen</t>
        </is>
      </c>
    </row>
    <row r="51">
      <c r="A51" s="11">
        <f>IF(COUNT(Import_Historie!$A$5:$A$5004)=0,0,DATE(YEAR(MIN(Import_Historie!$A$5:$A$5004)),MONTH(MIN(Import_Historie!$A$5:$A$5004)),1))</f>
        <v/>
      </c>
      <c r="B51" s="11">
        <f>DATE(YEAR($A51),MONTH($A51)+1,1)</f>
        <v/>
      </c>
      <c r="C51" s="12">
        <f>SUMPRODUCT((Import_Historie!$A$5:$A$5004&gt;=$A51)*(Import_Historie!$A$5:$A$5004&lt;$B51)*Import_Historie!$I$5:$I$5004)</f>
        <v/>
      </c>
      <c r="D51" s="13">
        <f>SUMPRODUCT((Import_Historie!$A$5:$A$5004&gt;=$A51)*(Import_Historie!$A$5:$A$5004&lt;$B51)*Import_Historie!$F$5:$F$5004)</f>
        <v/>
      </c>
      <c r="E51" s="12">
        <f>IFERROR($C51/($B51-$A51),0)</f>
        <v/>
      </c>
      <c r="F51" s="14">
        <f>SUMPRODUCT((Import_Historie!$A$5:$A$5004&gt;=$A51)*(Import_Historie!$A$5:$A$5004&lt;$B51)*1)</f>
        <v/>
      </c>
    </row>
    <row r="52">
      <c r="A52" s="11">
        <f>DATE(YEAR($A51),MONTH($A51)+1,1)</f>
        <v/>
      </c>
      <c r="B52" s="11">
        <f>DATE(YEAR($A52),MONTH($A52)+1,1)</f>
        <v/>
      </c>
      <c r="C52" s="12">
        <f>SUMPRODUCT((Import_Historie!$A$5:$A$5004&gt;=$A52)*(Import_Historie!$A$5:$A$5004&lt;$B52)*Import_Historie!$I$5:$I$5004)</f>
        <v/>
      </c>
      <c r="D52" s="13">
        <f>SUMPRODUCT((Import_Historie!$A$5:$A$5004&gt;=$A52)*(Import_Historie!$A$5:$A$5004&lt;$B52)*Import_Historie!$F$5:$F$5004)</f>
        <v/>
      </c>
      <c r="E52" s="12">
        <f>IFERROR($C52/($B52-$A52),0)</f>
        <v/>
      </c>
      <c r="F52" s="14">
        <f>SUMPRODUCT((Import_Historie!$A$5:$A$5004&gt;=$A52)*(Import_Historie!$A$5:$A$5004&lt;$B52)*1)</f>
        <v/>
      </c>
    </row>
    <row r="53">
      <c r="A53" s="11">
        <f>DATE(YEAR($A52),MONTH($A52)+1,1)</f>
        <v/>
      </c>
      <c r="B53" s="11">
        <f>DATE(YEAR($A53),MONTH($A53)+1,1)</f>
        <v/>
      </c>
      <c r="C53" s="12">
        <f>SUMPRODUCT((Import_Historie!$A$5:$A$5004&gt;=$A53)*(Import_Historie!$A$5:$A$5004&lt;$B53)*Import_Historie!$I$5:$I$5004)</f>
        <v/>
      </c>
      <c r="D53" s="13">
        <f>SUMPRODUCT((Import_Historie!$A$5:$A$5004&gt;=$A53)*(Import_Historie!$A$5:$A$5004&lt;$B53)*Import_Historie!$F$5:$F$5004)</f>
        <v/>
      </c>
      <c r="E53" s="12">
        <f>IFERROR($C53/($B53-$A53),0)</f>
        <v/>
      </c>
      <c r="F53" s="14">
        <f>SUMPRODUCT((Import_Historie!$A$5:$A$5004&gt;=$A53)*(Import_Historie!$A$5:$A$5004&lt;$B53)*1)</f>
        <v/>
      </c>
    </row>
    <row r="54">
      <c r="A54" s="11">
        <f>DATE(YEAR($A53),MONTH($A53)+1,1)</f>
        <v/>
      </c>
      <c r="B54" s="11">
        <f>DATE(YEAR($A54),MONTH($A54)+1,1)</f>
        <v/>
      </c>
      <c r="C54" s="12">
        <f>SUMPRODUCT((Import_Historie!$A$5:$A$5004&gt;=$A54)*(Import_Historie!$A$5:$A$5004&lt;$B54)*Import_Historie!$I$5:$I$5004)</f>
        <v/>
      </c>
      <c r="D54" s="13">
        <f>SUMPRODUCT((Import_Historie!$A$5:$A$5004&gt;=$A54)*(Import_Historie!$A$5:$A$5004&lt;$B54)*Import_Historie!$F$5:$F$5004)</f>
        <v/>
      </c>
      <c r="E54" s="12">
        <f>IFERROR($C54/($B54-$A54),0)</f>
        <v/>
      </c>
      <c r="F54" s="14">
        <f>SUMPRODUCT((Import_Historie!$A$5:$A$5004&gt;=$A54)*(Import_Historie!$A$5:$A$5004&lt;$B54)*1)</f>
        <v/>
      </c>
    </row>
    <row r="55">
      <c r="A55" s="11">
        <f>DATE(YEAR($A54),MONTH($A54)+1,1)</f>
        <v/>
      </c>
      <c r="B55" s="11">
        <f>DATE(YEAR($A55),MONTH($A55)+1,1)</f>
        <v/>
      </c>
      <c r="C55" s="12">
        <f>SUMPRODUCT((Import_Historie!$A$5:$A$5004&gt;=$A55)*(Import_Historie!$A$5:$A$5004&lt;$B55)*Import_Historie!$I$5:$I$5004)</f>
        <v/>
      </c>
      <c r="D55" s="13">
        <f>SUMPRODUCT((Import_Historie!$A$5:$A$5004&gt;=$A55)*(Import_Historie!$A$5:$A$5004&lt;$B55)*Import_Historie!$F$5:$F$5004)</f>
        <v/>
      </c>
      <c r="E55" s="12">
        <f>IFERROR($C55/($B55-$A55),0)</f>
        <v/>
      </c>
      <c r="F55" s="14">
        <f>SUMPRODUCT((Import_Historie!$A$5:$A$5004&gt;=$A55)*(Import_Historie!$A$5:$A$5004&lt;$B55)*1)</f>
        <v/>
      </c>
    </row>
    <row r="56">
      <c r="A56" s="11">
        <f>DATE(YEAR($A55),MONTH($A55)+1,1)</f>
        <v/>
      </c>
      <c r="B56" s="11">
        <f>DATE(YEAR($A56),MONTH($A56)+1,1)</f>
        <v/>
      </c>
      <c r="C56" s="12">
        <f>SUMPRODUCT((Import_Historie!$A$5:$A$5004&gt;=$A56)*(Import_Historie!$A$5:$A$5004&lt;$B56)*Import_Historie!$I$5:$I$5004)</f>
        <v/>
      </c>
      <c r="D56" s="13">
        <f>SUMPRODUCT((Import_Historie!$A$5:$A$5004&gt;=$A56)*(Import_Historie!$A$5:$A$5004&lt;$B56)*Import_Historie!$F$5:$F$5004)</f>
        <v/>
      </c>
      <c r="E56" s="12">
        <f>IFERROR($C56/($B56-$A56),0)</f>
        <v/>
      </c>
      <c r="F56" s="14">
        <f>SUMPRODUCT((Import_Historie!$A$5:$A$5004&gt;=$A56)*(Import_Historie!$A$5:$A$5004&lt;$B56)*1)</f>
        <v/>
      </c>
    </row>
    <row r="57">
      <c r="A57" s="11">
        <f>DATE(YEAR($A56),MONTH($A56)+1,1)</f>
        <v/>
      </c>
      <c r="B57" s="11">
        <f>DATE(YEAR($A57),MONTH($A57)+1,1)</f>
        <v/>
      </c>
      <c r="C57" s="12">
        <f>SUMPRODUCT((Import_Historie!$A$5:$A$5004&gt;=$A57)*(Import_Historie!$A$5:$A$5004&lt;$B57)*Import_Historie!$I$5:$I$5004)</f>
        <v/>
      </c>
      <c r="D57" s="13">
        <f>SUMPRODUCT((Import_Historie!$A$5:$A$5004&gt;=$A57)*(Import_Historie!$A$5:$A$5004&lt;$B57)*Import_Historie!$F$5:$F$5004)</f>
        <v/>
      </c>
      <c r="E57" s="12">
        <f>IFERROR($C57/($B57-$A57),0)</f>
        <v/>
      </c>
      <c r="F57" s="14">
        <f>SUMPRODUCT((Import_Historie!$A$5:$A$5004&gt;=$A57)*(Import_Historie!$A$5:$A$5004&lt;$B57)*1)</f>
        <v/>
      </c>
    </row>
    <row r="58">
      <c r="A58" s="11">
        <f>DATE(YEAR($A57),MONTH($A57)+1,1)</f>
        <v/>
      </c>
      <c r="B58" s="11">
        <f>DATE(YEAR($A58),MONTH($A58)+1,1)</f>
        <v/>
      </c>
      <c r="C58" s="12">
        <f>SUMPRODUCT((Import_Historie!$A$5:$A$5004&gt;=$A58)*(Import_Historie!$A$5:$A$5004&lt;$B58)*Import_Historie!$I$5:$I$5004)</f>
        <v/>
      </c>
      <c r="D58" s="13">
        <f>SUMPRODUCT((Import_Historie!$A$5:$A$5004&gt;=$A58)*(Import_Historie!$A$5:$A$5004&lt;$B58)*Import_Historie!$F$5:$F$5004)</f>
        <v/>
      </c>
      <c r="E58" s="12">
        <f>IFERROR($C58/($B58-$A58),0)</f>
        <v/>
      </c>
      <c r="F58" s="14">
        <f>SUMPRODUCT((Import_Historie!$A$5:$A$5004&gt;=$A58)*(Import_Historie!$A$5:$A$5004&lt;$B58)*1)</f>
        <v/>
      </c>
    </row>
    <row r="59">
      <c r="A59" s="11">
        <f>DATE(YEAR($A58),MONTH($A58)+1,1)</f>
        <v/>
      </c>
      <c r="B59" s="11">
        <f>DATE(YEAR($A59),MONTH($A59)+1,1)</f>
        <v/>
      </c>
      <c r="C59" s="12">
        <f>SUMPRODUCT((Import_Historie!$A$5:$A$5004&gt;=$A59)*(Import_Historie!$A$5:$A$5004&lt;$B59)*Import_Historie!$I$5:$I$5004)</f>
        <v/>
      </c>
      <c r="D59" s="13">
        <f>SUMPRODUCT((Import_Historie!$A$5:$A$5004&gt;=$A59)*(Import_Historie!$A$5:$A$5004&lt;$B59)*Import_Historie!$F$5:$F$5004)</f>
        <v/>
      </c>
      <c r="E59" s="12">
        <f>IFERROR($C59/($B59-$A59),0)</f>
        <v/>
      </c>
      <c r="F59" s="14">
        <f>SUMPRODUCT((Import_Historie!$A$5:$A$5004&gt;=$A59)*(Import_Historie!$A$5:$A$5004&lt;$B59)*1)</f>
        <v/>
      </c>
    </row>
    <row r="60">
      <c r="A60" s="11">
        <f>DATE(YEAR($A59),MONTH($A59)+1,1)</f>
        <v/>
      </c>
      <c r="B60" s="11">
        <f>DATE(YEAR($A60),MONTH($A60)+1,1)</f>
        <v/>
      </c>
      <c r="C60" s="12">
        <f>SUMPRODUCT((Import_Historie!$A$5:$A$5004&gt;=$A60)*(Import_Historie!$A$5:$A$5004&lt;$B60)*Import_Historie!$I$5:$I$5004)</f>
        <v/>
      </c>
      <c r="D60" s="13">
        <f>SUMPRODUCT((Import_Historie!$A$5:$A$5004&gt;=$A60)*(Import_Historie!$A$5:$A$5004&lt;$B60)*Import_Historie!$F$5:$F$5004)</f>
        <v/>
      </c>
      <c r="E60" s="12">
        <f>IFERROR($C60/($B60-$A60),0)</f>
        <v/>
      </c>
      <c r="F60" s="14">
        <f>SUMPRODUCT((Import_Historie!$A$5:$A$5004&gt;=$A60)*(Import_Historie!$A$5:$A$5004&lt;$B60)*1)</f>
        <v/>
      </c>
    </row>
    <row r="61">
      <c r="A61" s="11">
        <f>DATE(YEAR($A60),MONTH($A60)+1,1)</f>
        <v/>
      </c>
      <c r="B61" s="11">
        <f>DATE(YEAR($A61),MONTH($A61)+1,1)</f>
        <v/>
      </c>
      <c r="C61" s="12">
        <f>SUMPRODUCT((Import_Historie!$A$5:$A$5004&gt;=$A61)*(Import_Historie!$A$5:$A$5004&lt;$B61)*Import_Historie!$I$5:$I$5004)</f>
        <v/>
      </c>
      <c r="D61" s="13">
        <f>SUMPRODUCT((Import_Historie!$A$5:$A$5004&gt;=$A61)*(Import_Historie!$A$5:$A$5004&lt;$B61)*Import_Historie!$F$5:$F$5004)</f>
        <v/>
      </c>
      <c r="E61" s="12">
        <f>IFERROR($C61/($B61-$A61),0)</f>
        <v/>
      </c>
      <c r="F61" s="14">
        <f>SUMPRODUCT((Import_Historie!$A$5:$A$5004&gt;=$A61)*(Import_Historie!$A$5:$A$5004&lt;$B61)*1)</f>
        <v/>
      </c>
    </row>
    <row r="62">
      <c r="A62" s="11">
        <f>DATE(YEAR($A61),MONTH($A61)+1,1)</f>
        <v/>
      </c>
      <c r="B62" s="11">
        <f>DATE(YEAR($A62),MONTH($A62)+1,1)</f>
        <v/>
      </c>
      <c r="C62" s="12">
        <f>SUMPRODUCT((Import_Historie!$A$5:$A$5004&gt;=$A62)*(Import_Historie!$A$5:$A$5004&lt;$B62)*Import_Historie!$I$5:$I$5004)</f>
        <v/>
      </c>
      <c r="D62" s="13">
        <f>SUMPRODUCT((Import_Historie!$A$5:$A$5004&gt;=$A62)*(Import_Historie!$A$5:$A$5004&lt;$B62)*Import_Historie!$F$5:$F$5004)</f>
        <v/>
      </c>
      <c r="E62" s="12">
        <f>IFERROR($C62/($B62-$A62),0)</f>
        <v/>
      </c>
      <c r="F62" s="14">
        <f>SUMPRODUCT((Import_Historie!$A$5:$A$5004&gt;=$A62)*(Import_Historie!$A$5:$A$5004&lt;$B62)*1)</f>
        <v/>
      </c>
    </row>
  </sheetData>
  <mergeCells count="19">
    <mergeCell ref="B11:D11"/>
    <mergeCell ref="B8:D8"/>
    <mergeCell ref="F8:H8"/>
    <mergeCell ref="B13:D13"/>
    <mergeCell ref="J9:L9"/>
    <mergeCell ref="J11:L11"/>
    <mergeCell ref="J7:L7"/>
    <mergeCell ref="F13:H13"/>
    <mergeCell ref="B9:D9"/>
    <mergeCell ref="F9:H9"/>
    <mergeCell ref="J12:L12"/>
    <mergeCell ref="J8:L8"/>
    <mergeCell ref="B7:D7"/>
    <mergeCell ref="F11:H11"/>
    <mergeCell ref="J13:L13"/>
    <mergeCell ref="B15:L15"/>
    <mergeCell ref="F12:H12"/>
    <mergeCell ref="F7:H7"/>
    <mergeCell ref="B12:D12"/>
  </mergeCells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P13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8" customWidth="1" min="1" max="1"/>
    <col width="14" customWidth="1" min="2" max="2"/>
    <col width="11" customWidth="1" min="3" max="3"/>
    <col width="11" customWidth="1" min="4" max="4"/>
    <col width="18" customWidth="1" min="5" max="5"/>
    <col width="22" customWidth="1" min="6" max="6"/>
    <col width="22" customWidth="1" min="7" max="7"/>
    <col width="22" customWidth="1" min="8" max="8"/>
    <col width="18" customWidth="1" min="9" max="9"/>
    <col width="14" customWidth="1" min="10" max="10"/>
    <col width="3" customWidth="1" min="11" max="11"/>
    <col width="14" customWidth="1" min="13" max="13"/>
    <col width="14" customWidth="1" min="14" max="14"/>
    <col width="11" customWidth="1" min="15" max="15"/>
    <col width="11" customWidth="1" min="16" max="16"/>
  </cols>
  <sheetData>
    <row r="1" ht="24" customHeight="1">
      <c r="A1" s="1" t="inlineStr">
        <is>
          <t>Distributionszentren – Stammdaten</t>
        </is>
      </c>
    </row>
    <row r="2">
      <c r="A2" s="2" t="inlineStr">
        <is>
          <t>Blaue Zellen sind Eingaben. Zeilen ausschließlich über die Schaltflächen "DC hinzufügen" / "DC entfernen" ändern, damit die Formeln der Simulation mitwachsen.</t>
        </is>
      </c>
    </row>
    <row r="3">
      <c r="M3" s="9" t="inlineStr">
        <is>
          <t>Absatzregionen (Kunden-Schwerpunkte)</t>
        </is>
      </c>
    </row>
    <row r="5" ht="30" customHeight="1">
      <c r="A5" s="10" t="inlineStr">
        <is>
          <t>DC-Name</t>
        </is>
      </c>
      <c r="B5" s="10" t="inlineStr">
        <is>
          <t>Region/Land</t>
        </is>
      </c>
      <c r="C5" s="10" t="inlineStr">
        <is>
          <t>Latitude</t>
        </is>
      </c>
      <c r="D5" s="10" t="inlineStr">
        <is>
          <t>Longitude</t>
        </is>
      </c>
      <c r="E5" s="10" t="inlineStr">
        <is>
          <t>Kapazität (Paletten)</t>
        </is>
      </c>
      <c r="F5" s="10" t="inlineStr">
        <is>
          <t>Lagerkosten (€/Palette/Periode)</t>
        </is>
      </c>
      <c r="G5" s="10" t="inlineStr">
        <is>
          <t>Transportkosten-Basis (€/Palette)</t>
        </is>
      </c>
      <c r="H5" s="10" t="inlineStr">
        <is>
          <t>Transportkosten (€/km/Palette)</t>
        </is>
      </c>
      <c r="I5" s="10" t="inlineStr">
        <is>
          <t>Vorbelegung (Paletten)</t>
        </is>
      </c>
      <c r="J5" s="10" t="inlineStr">
        <is>
          <t>aktiv (Ja/Nein)</t>
        </is>
      </c>
      <c r="M5" s="10" t="inlineStr">
        <is>
          <t>Region</t>
        </is>
      </c>
      <c r="N5" s="10" t="inlineStr">
        <is>
          <t>Land</t>
        </is>
      </c>
      <c r="O5" s="10" t="inlineStr">
        <is>
          <t>Latitude</t>
        </is>
      </c>
      <c r="P5" s="10" t="inlineStr">
        <is>
          <t>Longitude</t>
        </is>
      </c>
    </row>
    <row r="6">
      <c r="A6" s="15" t="inlineStr">
        <is>
          <t>DC Hamburg</t>
        </is>
      </c>
      <c r="B6" s="15" t="inlineStr">
        <is>
          <t>DE-Nord</t>
        </is>
      </c>
      <c r="C6" s="16" t="n">
        <v>53.55</v>
      </c>
      <c r="D6" s="16" t="n">
        <v>9.99</v>
      </c>
      <c r="E6" s="17" t="n">
        <v>12000</v>
      </c>
      <c r="F6" s="18" t="n">
        <v>8.5</v>
      </c>
      <c r="G6" s="18" t="n">
        <v>12</v>
      </c>
      <c r="H6" s="19" t="n">
        <v>0.045</v>
      </c>
      <c r="I6" s="17" t="n">
        <v>5200</v>
      </c>
      <c r="J6" s="15" t="inlineStr">
        <is>
          <t>Ja</t>
        </is>
      </c>
      <c r="M6" s="15" t="inlineStr">
        <is>
          <t>DE-Nord</t>
        </is>
      </c>
      <c r="N6" s="15" t="inlineStr">
        <is>
          <t>Deutschland</t>
        </is>
      </c>
      <c r="O6" s="16" t="n">
        <v>53.5</v>
      </c>
      <c r="P6" s="16" t="n">
        <v>10</v>
      </c>
    </row>
    <row r="7">
      <c r="A7" s="15" t="inlineStr">
        <is>
          <t>DC Duisburg</t>
        </is>
      </c>
      <c r="B7" s="15" t="inlineStr">
        <is>
          <t>DE-West</t>
        </is>
      </c>
      <c r="C7" s="16" t="n">
        <v>51.43</v>
      </c>
      <c r="D7" s="16" t="n">
        <v>6.76</v>
      </c>
      <c r="E7" s="17" t="n">
        <v>18000</v>
      </c>
      <c r="F7" s="18" t="n">
        <v>7.8</v>
      </c>
      <c r="G7" s="18" t="n">
        <v>10.5</v>
      </c>
      <c r="H7" s="19" t="n">
        <v>0.04</v>
      </c>
      <c r="I7" s="17" t="n">
        <v>9800</v>
      </c>
      <c r="J7" s="15" t="inlineStr">
        <is>
          <t>Ja</t>
        </is>
      </c>
      <c r="M7" s="15" t="inlineStr">
        <is>
          <t>DE-West</t>
        </is>
      </c>
      <c r="N7" s="15" t="inlineStr">
        <is>
          <t>Deutschland</t>
        </is>
      </c>
      <c r="O7" s="16" t="n">
        <v>51.2</v>
      </c>
      <c r="P7" s="16" t="n">
        <v>7</v>
      </c>
    </row>
    <row r="8">
      <c r="A8" s="15" t="inlineStr">
        <is>
          <t>DC Frankfurt</t>
        </is>
      </c>
      <c r="B8" s="15" t="inlineStr">
        <is>
          <t>DE-Mitte</t>
        </is>
      </c>
      <c r="C8" s="16" t="n">
        <v>50.11</v>
      </c>
      <c r="D8" s="16" t="n">
        <v>8.68</v>
      </c>
      <c r="E8" s="17" t="n">
        <v>9000</v>
      </c>
      <c r="F8" s="18" t="n">
        <v>9.6</v>
      </c>
      <c r="G8" s="18" t="n">
        <v>13</v>
      </c>
      <c r="H8" s="19" t="n">
        <v>0.048</v>
      </c>
      <c r="I8" s="17" t="n">
        <v>8600</v>
      </c>
      <c r="J8" s="15" t="inlineStr">
        <is>
          <t>Ja</t>
        </is>
      </c>
      <c r="M8" s="15" t="inlineStr">
        <is>
          <t>DE-Mitte</t>
        </is>
      </c>
      <c r="N8" s="15" t="inlineStr">
        <is>
          <t>Deutschland</t>
        </is>
      </c>
      <c r="O8" s="16" t="n">
        <v>50.3</v>
      </c>
      <c r="P8" s="16" t="n">
        <v>8.800000000000001</v>
      </c>
    </row>
    <row r="9">
      <c r="A9" s="15" t="inlineStr">
        <is>
          <t>DC Muenchen</t>
        </is>
      </c>
      <c r="B9" s="15" t="inlineStr">
        <is>
          <t>DE-Sued</t>
        </is>
      </c>
      <c r="C9" s="16" t="n">
        <v>48.14</v>
      </c>
      <c r="D9" s="16" t="n">
        <v>11.58</v>
      </c>
      <c r="E9" s="17" t="n">
        <v>11000</v>
      </c>
      <c r="F9" s="18" t="n">
        <v>9.199999999999999</v>
      </c>
      <c r="G9" s="18" t="n">
        <v>12.5</v>
      </c>
      <c r="H9" s="19" t="n">
        <v>0.046</v>
      </c>
      <c r="I9" s="17" t="n">
        <v>6400</v>
      </c>
      <c r="J9" s="15" t="inlineStr">
        <is>
          <t>Ja</t>
        </is>
      </c>
      <c r="M9" s="15" t="inlineStr">
        <is>
          <t>DE-Sued</t>
        </is>
      </c>
      <c r="N9" s="15" t="inlineStr">
        <is>
          <t>Deutschland</t>
        </is>
      </c>
      <c r="O9" s="16" t="n">
        <v>48.5</v>
      </c>
      <c r="P9" s="16" t="n">
        <v>11.5</v>
      </c>
    </row>
    <row r="10">
      <c r="A10" s="15" t="inlineStr">
        <is>
          <t>DC Leipzig</t>
        </is>
      </c>
      <c r="B10" s="15" t="inlineStr">
        <is>
          <t>DE-Ost</t>
        </is>
      </c>
      <c r="C10" s="16" t="n">
        <v>51.34</v>
      </c>
      <c r="D10" s="16" t="n">
        <v>12.37</v>
      </c>
      <c r="E10" s="17" t="n">
        <v>7500</v>
      </c>
      <c r="F10" s="18" t="n">
        <v>7.1</v>
      </c>
      <c r="G10" s="18" t="n">
        <v>11</v>
      </c>
      <c r="H10" s="19" t="n">
        <v>0.042</v>
      </c>
      <c r="I10" s="17" t="n">
        <v>2600</v>
      </c>
      <c r="J10" s="15" t="inlineStr">
        <is>
          <t>Ja</t>
        </is>
      </c>
      <c r="M10" s="15" t="inlineStr">
        <is>
          <t>DE-Ost</t>
        </is>
      </c>
      <c r="N10" s="15" t="inlineStr">
        <is>
          <t>Deutschland</t>
        </is>
      </c>
      <c r="O10" s="16" t="n">
        <v>51.3</v>
      </c>
      <c r="P10" s="16" t="n">
        <v>12.4</v>
      </c>
    </row>
    <row r="11">
      <c r="A11" s="15" t="inlineStr">
        <is>
          <t>DC Poznan</t>
        </is>
      </c>
      <c r="B11" s="15" t="inlineStr">
        <is>
          <t>PL</t>
        </is>
      </c>
      <c r="C11" s="16" t="n">
        <v>52.41</v>
      </c>
      <c r="D11" s="16" t="n">
        <v>16.93</v>
      </c>
      <c r="E11" s="17" t="n">
        <v>14000</v>
      </c>
      <c r="F11" s="18" t="n">
        <v>5.4</v>
      </c>
      <c r="G11" s="18" t="n">
        <v>9.5</v>
      </c>
      <c r="H11" s="19" t="n">
        <v>0.038</v>
      </c>
      <c r="I11" s="17" t="n">
        <v>3300</v>
      </c>
      <c r="J11" s="15" t="inlineStr">
        <is>
          <t>Ja</t>
        </is>
      </c>
      <c r="M11" s="15" t="inlineStr">
        <is>
          <t>NL</t>
        </is>
      </c>
      <c r="N11" s="15" t="inlineStr">
        <is>
          <t>Niederlande</t>
        </is>
      </c>
      <c r="O11" s="16" t="n">
        <v>52.2</v>
      </c>
      <c r="P11" s="16" t="n">
        <v>5.5</v>
      </c>
    </row>
    <row r="12">
      <c r="M12" s="15" t="inlineStr">
        <is>
          <t>AT</t>
        </is>
      </c>
      <c r="N12" s="15" t="inlineStr">
        <is>
          <t>Oesterreich</t>
        </is>
      </c>
      <c r="O12" s="16" t="n">
        <v>47.6</v>
      </c>
      <c r="P12" s="16" t="n">
        <v>14.1</v>
      </c>
    </row>
    <row r="13">
      <c r="M13" s="15" t="inlineStr">
        <is>
          <t>PL</t>
        </is>
      </c>
      <c r="N13" s="15" t="inlineStr">
        <is>
          <t>Polen</t>
        </is>
      </c>
      <c r="O13" s="16" t="n">
        <v>52.2</v>
      </c>
      <c r="P13" s="16" t="n">
        <v>20.9</v>
      </c>
    </row>
  </sheetData>
  <dataValidations count="1">
    <dataValidation sqref="J6:J25" showDropDown="0" showInputMessage="0" showErrorMessage="0" allowBlank="1" type="list">
      <formula1>"Ja,Nein"</formula1>
    </dataValidation>
  </dataValidations>
  <pageMargins left="0.75" right="0.75" top="1" bottom="1" header="0.5" footer="0.5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K48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3" customWidth="1" min="1" max="1"/>
    <col width="22" customWidth="1" min="2" max="2"/>
    <col width="13" customWidth="1" min="3" max="3"/>
    <col width="19" customWidth="1" min="4" max="4"/>
    <col width="14" customWidth="1" min="5" max="5"/>
    <col width="15" customWidth="1" min="6" max="6"/>
    <col width="17" customWidth="1" min="7" max="7"/>
    <col width="12" customWidth="1" min="8" max="8"/>
    <col width="19" customWidth="1" min="9" max="9"/>
    <col width="60" customWidth="1" min="11" max="11"/>
  </cols>
  <sheetData>
    <row r="1" ht="24" customHeight="1">
      <c r="A1" s="1" t="inlineStr">
        <is>
          <t>Import – historische Bewegungsdaten</t>
        </is>
      </c>
    </row>
    <row r="2">
      <c r="A2" s="2" t="inlineStr">
        <is>
          <t>Zielstruktur des Power-Query-Imports. Vorbelegt mit Beispieldaten, damit die Mappe sofort rechnet; der Import überschreibt diese Tabelle.</t>
        </is>
      </c>
      <c r="K2" s="3" t="inlineStr">
        <is>
          <t>Hinweis: Alle Auswertungen lesen die Zeilen 5 bis 5004. Enthält die Quelle mehr Zeilen, muss dieses Fenster in den Formeln erweitert werden.</t>
        </is>
      </c>
    </row>
    <row r="4" ht="30" customHeight="1">
      <c r="A4" s="10" t="inlineStr">
        <is>
          <t>Datum</t>
        </is>
      </c>
      <c r="B4" s="10" t="inlineStr">
        <is>
          <t>Kunde</t>
        </is>
      </c>
      <c r="C4" s="10" t="inlineStr">
        <is>
          <t>Land/Region</t>
        </is>
      </c>
      <c r="D4" s="10" t="inlineStr">
        <is>
          <t>Produktkategorie</t>
        </is>
      </c>
      <c r="E4" s="10" t="inlineStr">
        <is>
          <t>Menge (Stück)</t>
        </is>
      </c>
      <c r="F4" s="10" t="inlineStr">
        <is>
          <t>EUR-Umsatz</t>
        </is>
      </c>
      <c r="G4" s="10" t="inlineStr">
        <is>
          <t>Transportvolumen</t>
        </is>
      </c>
      <c r="H4" s="10" t="inlineStr">
        <is>
          <t>Paletten</t>
        </is>
      </c>
      <c r="I4" s="10" t="inlineStr">
        <is>
          <t>Paletten-Äquivalent</t>
        </is>
      </c>
    </row>
    <row r="5">
      <c r="A5" s="11" t="n">
        <v>45658</v>
      </c>
      <c r="B5" s="20" t="inlineStr">
        <is>
          <t>Tirol Handel AG</t>
        </is>
      </c>
      <c r="C5" s="20" t="inlineStr">
        <is>
          <t>AT</t>
        </is>
      </c>
      <c r="D5" s="20" t="inlineStr">
        <is>
          <t>Non-Food</t>
        </is>
      </c>
      <c r="E5" s="14" t="n">
        <v>4848</v>
      </c>
      <c r="F5" s="13" t="n">
        <v>60600</v>
      </c>
      <c r="G5" s="12" t="n">
        <v>32.32</v>
      </c>
      <c r="H5" s="12" t="n">
        <v>20.2</v>
      </c>
      <c r="I5" s="12">
        <f>IF($H5&gt;0,$H5,IFERROR($G5/Import_Mapping!$B$7,0))</f>
        <v/>
      </c>
    </row>
    <row r="6">
      <c r="A6" s="11" t="n">
        <v>45658</v>
      </c>
      <c r="B6" s="20" t="inlineStr">
        <is>
          <t>Tirol Handel AG</t>
        </is>
      </c>
      <c r="C6" s="20" t="inlineStr">
        <is>
          <t>AT</t>
        </is>
      </c>
      <c r="D6" s="20" t="inlineStr">
        <is>
          <t>Trockensortiment</t>
        </is>
      </c>
      <c r="E6" s="14" t="n">
        <v>34056</v>
      </c>
      <c r="F6" s="13" t="n">
        <v>63003.6</v>
      </c>
      <c r="G6" s="12" t="n">
        <v>68.58</v>
      </c>
      <c r="H6" s="12" t="n">
        <v>47.3</v>
      </c>
      <c r="I6" s="12">
        <f>IF($H6&gt;0,$H6,IFERROR($G6/Import_Mapping!$B$7,0))</f>
        <v/>
      </c>
    </row>
    <row r="7">
      <c r="A7" s="11" t="n">
        <v>45658</v>
      </c>
      <c r="B7" s="20" t="inlineStr">
        <is>
          <t>Spree Markt AG</t>
        </is>
      </c>
      <c r="C7" s="20" t="inlineStr">
        <is>
          <t>DE-Ost</t>
        </is>
      </c>
      <c r="D7" s="20" t="inlineStr">
        <is>
          <t>Getraenke</t>
        </is>
      </c>
      <c r="E7" s="14" t="n">
        <v>122880</v>
      </c>
      <c r="F7" s="13" t="n">
        <v>116736</v>
      </c>
      <c r="G7" s="12" t="n">
        <v>198.4</v>
      </c>
      <c r="H7" s="12" t="n">
        <v>128</v>
      </c>
      <c r="I7" s="12">
        <f>IF($H7&gt;0,$H7,IFERROR($G7/Import_Mapping!$B$7,0))</f>
        <v/>
      </c>
    </row>
    <row r="8">
      <c r="A8" s="11" t="n">
        <v>45659</v>
      </c>
      <c r="B8" s="20" t="inlineStr">
        <is>
          <t>Sachsen Handel GmbH</t>
        </is>
      </c>
      <c r="C8" s="20" t="inlineStr">
        <is>
          <t>DE-Ost</t>
        </is>
      </c>
      <c r="D8" s="20" t="inlineStr">
        <is>
          <t>Non-Food</t>
        </is>
      </c>
      <c r="E8" s="14" t="n">
        <v>7632</v>
      </c>
      <c r="F8" s="13" t="n">
        <v>95400</v>
      </c>
      <c r="G8" s="12" t="n">
        <v>50.88</v>
      </c>
      <c r="H8" s="12" t="n">
        <v>31.8</v>
      </c>
      <c r="I8" s="12">
        <f>IF($H8&gt;0,$H8,IFERROR($G8/Import_Mapping!$B$7,0))</f>
        <v/>
      </c>
    </row>
    <row r="9">
      <c r="A9" s="11" t="n">
        <v>45659</v>
      </c>
      <c r="B9" s="20" t="inlineStr">
        <is>
          <t>Donau Handel AG</t>
        </is>
      </c>
      <c r="C9" s="20" t="inlineStr">
        <is>
          <t>DE-Sued</t>
        </is>
      </c>
      <c r="D9" s="20" t="inlineStr">
        <is>
          <t>Trockensortiment</t>
        </is>
      </c>
      <c r="E9" s="14" t="n">
        <v>113256</v>
      </c>
      <c r="F9" s="13" t="n">
        <v>209523.6</v>
      </c>
      <c r="G9" s="12" t="n">
        <v>228.09</v>
      </c>
      <c r="H9" s="12" t="n">
        <v>157.3</v>
      </c>
      <c r="I9" s="12">
        <f>IF($H9&gt;0,$H9,IFERROR($G9/Import_Mapping!$B$7,0))</f>
        <v/>
      </c>
    </row>
    <row r="10">
      <c r="A10" s="11" t="n">
        <v>45660</v>
      </c>
      <c r="B10" s="20" t="inlineStr">
        <is>
          <t>Sued Filialen KG</t>
        </is>
      </c>
      <c r="C10" s="20" t="inlineStr">
        <is>
          <t>DE-Sued</t>
        </is>
      </c>
      <c r="D10" s="20" t="inlineStr">
        <is>
          <t>Non-Food</t>
        </is>
      </c>
      <c r="E10" s="14" t="n">
        <v>10992</v>
      </c>
      <c r="F10" s="13" t="n">
        <v>137400</v>
      </c>
      <c r="G10" s="12" t="n">
        <v>73.28</v>
      </c>
      <c r="H10" s="12" t="n">
        <v>45.8</v>
      </c>
      <c r="I10" s="12">
        <f>IF($H10&gt;0,$H10,IFERROR($G10/Import_Mapping!$B$7,0))</f>
        <v/>
      </c>
    </row>
    <row r="11">
      <c r="A11" s="11" t="n">
        <v>45661</v>
      </c>
      <c r="B11" s="20" t="inlineStr">
        <is>
          <t>Nordmarkt AG</t>
        </is>
      </c>
      <c r="C11" s="20" t="inlineStr">
        <is>
          <t>DE-Nord</t>
        </is>
      </c>
      <c r="D11" s="20" t="inlineStr">
        <is>
          <t>Kuehlware</t>
        </is>
      </c>
      <c r="E11" s="14" t="n">
        <v>63792</v>
      </c>
      <c r="F11" s="13" t="n">
        <v>216892.8</v>
      </c>
      <c r="G11" s="12" t="n">
        <v>172.77</v>
      </c>
      <c r="H11" s="12" t="n">
        <v>132.9</v>
      </c>
      <c r="I11" s="12">
        <f>IF($H11&gt;0,$H11,IFERROR($G11/Import_Mapping!$B$7,0))</f>
        <v/>
      </c>
    </row>
    <row r="12">
      <c r="A12" s="11" t="n">
        <v>45661</v>
      </c>
      <c r="B12" s="20" t="inlineStr">
        <is>
          <t>Westfilial AG</t>
        </is>
      </c>
      <c r="C12" s="20" t="inlineStr">
        <is>
          <t>DE-West</t>
        </is>
      </c>
      <c r="D12" s="20" t="inlineStr">
        <is>
          <t>Kuehlware</t>
        </is>
      </c>
      <c r="E12" s="14" t="n">
        <v>50016</v>
      </c>
      <c r="F12" s="13" t="n">
        <v>170054.4</v>
      </c>
      <c r="G12" s="12" t="n">
        <v>135.46</v>
      </c>
      <c r="H12" s="12" t="n">
        <v>104.2</v>
      </c>
      <c r="I12" s="12">
        <f>IF($H12&gt;0,$H12,IFERROR($G12/Import_Mapping!$B$7,0))</f>
        <v/>
      </c>
    </row>
    <row r="13">
      <c r="A13" s="11" t="n">
        <v>45663</v>
      </c>
      <c r="B13" s="20" t="inlineStr">
        <is>
          <t>Spree Markt AG</t>
        </is>
      </c>
      <c r="C13" s="20" t="inlineStr">
        <is>
          <t>DE-Ost</t>
        </is>
      </c>
      <c r="D13" s="20" t="inlineStr">
        <is>
          <t>Kuehlware</t>
        </is>
      </c>
      <c r="E13" s="14" t="n">
        <v>31200</v>
      </c>
      <c r="F13" s="13" t="n">
        <v>106080</v>
      </c>
      <c r="G13" s="12" t="n">
        <v>84.5</v>
      </c>
      <c r="H13" s="12" t="n">
        <v>65</v>
      </c>
      <c r="I13" s="12">
        <f>IF($H13&gt;0,$H13,IFERROR($G13/Import_Mapping!$B$7,0))</f>
        <v/>
      </c>
    </row>
    <row r="14">
      <c r="A14" s="11" t="n">
        <v>45664</v>
      </c>
      <c r="B14" s="20" t="inlineStr">
        <is>
          <t>Sued Filialen KG</t>
        </is>
      </c>
      <c r="C14" s="20" t="inlineStr">
        <is>
          <t>DE-Sued</t>
        </is>
      </c>
      <c r="D14" s="20" t="inlineStr">
        <is>
          <t>Kuehlware</t>
        </is>
      </c>
      <c r="E14" s="14" t="n">
        <v>43344</v>
      </c>
      <c r="F14" s="13" t="n">
        <v>147369.6</v>
      </c>
      <c r="G14" s="12" t="n">
        <v>117.39</v>
      </c>
      <c r="H14" s="12" t="n">
        <v>90.3</v>
      </c>
      <c r="I14" s="12">
        <f>IF($H14&gt;0,$H14,IFERROR($G14/Import_Mapping!$B$7,0))</f>
        <v/>
      </c>
    </row>
    <row r="15">
      <c r="A15" s="11" t="n">
        <v>45664</v>
      </c>
      <c r="B15" s="20" t="inlineStr">
        <is>
          <t>Delta Foods BV</t>
        </is>
      </c>
      <c r="C15" s="20" t="inlineStr">
        <is>
          <t>NL</t>
        </is>
      </c>
      <c r="D15" s="20" t="inlineStr">
        <is>
          <t>Aktionsware</t>
        </is>
      </c>
      <c r="E15" s="14" t="n">
        <v>5976</v>
      </c>
      <c r="F15" s="13" t="n">
        <v>37051.2</v>
      </c>
      <c r="G15" s="12" t="n">
        <v>24.9</v>
      </c>
      <c r="H15" s="12" t="n">
        <v>16.6</v>
      </c>
      <c r="I15" s="12">
        <f>IF($H15&gt;0,$H15,IFERROR($G15/Import_Mapping!$B$7,0))</f>
        <v/>
      </c>
    </row>
    <row r="16">
      <c r="A16" s="11" t="n">
        <v>45665</v>
      </c>
      <c r="B16" s="20" t="inlineStr">
        <is>
          <t>Hessen Vertrieb GmbH</t>
        </is>
      </c>
      <c r="C16" s="20" t="inlineStr">
        <is>
          <t>DE-Mitte</t>
        </is>
      </c>
      <c r="D16" s="20" t="inlineStr">
        <is>
          <t>Trockensortiment</t>
        </is>
      </c>
      <c r="E16" s="14" t="n">
        <v>79560</v>
      </c>
      <c r="F16" s="13" t="n">
        <v>147186</v>
      </c>
      <c r="G16" s="12" t="n">
        <v>160.22</v>
      </c>
      <c r="H16" s="12" t="n">
        <v>110.5</v>
      </c>
      <c r="I16" s="12">
        <f>IF($H16&gt;0,$H16,IFERROR($G16/Import_Mapping!$B$7,0))</f>
        <v/>
      </c>
    </row>
    <row r="17">
      <c r="A17" s="11" t="n">
        <v>45665</v>
      </c>
      <c r="B17" s="20" t="inlineStr">
        <is>
          <t>Kuestenlager KG</t>
        </is>
      </c>
      <c r="C17" s="20" t="inlineStr">
        <is>
          <t>DE-Nord</t>
        </is>
      </c>
      <c r="D17" s="20" t="inlineStr">
        <is>
          <t>Non-Food</t>
        </is>
      </c>
      <c r="E17" s="14" t="n">
        <v>10368</v>
      </c>
      <c r="F17" s="13" t="n">
        <v>129600</v>
      </c>
      <c r="G17" s="12" t="n">
        <v>69.12</v>
      </c>
      <c r="H17" s="12" t="n">
        <v>43.2</v>
      </c>
      <c r="I17" s="12">
        <f>IF($H17&gt;0,$H17,IFERROR($G17/Import_Mapping!$B$7,0))</f>
        <v/>
      </c>
    </row>
    <row r="18">
      <c r="A18" s="11" t="n">
        <v>45666</v>
      </c>
      <c r="B18" s="20" t="inlineStr">
        <is>
          <t>Tirol Handel AG</t>
        </is>
      </c>
      <c r="C18" s="20" t="inlineStr">
        <is>
          <t>AT</t>
        </is>
      </c>
      <c r="D18" s="20" t="inlineStr">
        <is>
          <t>Kuehlware</t>
        </is>
      </c>
      <c r="E18" s="14" t="n">
        <v>12192</v>
      </c>
      <c r="F18" s="13" t="n">
        <v>41452.8</v>
      </c>
      <c r="G18" s="12" t="n">
        <v>33.02</v>
      </c>
      <c r="H18" s="12" t="n">
        <v>25.4</v>
      </c>
      <c r="I18" s="12">
        <f>IF($H18&gt;0,$H18,IFERROR($G18/Import_Mapping!$B$7,0))</f>
        <v/>
      </c>
    </row>
    <row r="19">
      <c r="A19" s="11" t="n">
        <v>45666</v>
      </c>
      <c r="B19" s="20" t="inlineStr">
        <is>
          <t>Elbe Handel GmbH</t>
        </is>
      </c>
      <c r="C19" s="20" t="inlineStr">
        <is>
          <t>DE-Nord</t>
        </is>
      </c>
      <c r="D19" s="20" t="inlineStr">
        <is>
          <t>Trockensortiment</t>
        </is>
      </c>
      <c r="E19" s="14" t="n">
        <v>133272</v>
      </c>
      <c r="F19" s="13" t="n">
        <v>246553.2</v>
      </c>
      <c r="G19" s="12" t="n">
        <v>268.39</v>
      </c>
      <c r="H19" s="12" t="n">
        <v>185.1</v>
      </c>
      <c r="I19" s="12">
        <f>IF($H19&gt;0,$H19,IFERROR($G19/Import_Mapping!$B$7,0))</f>
        <v/>
      </c>
    </row>
    <row r="20">
      <c r="A20" s="11" t="n">
        <v>45667</v>
      </c>
      <c r="B20" s="20" t="inlineStr">
        <is>
          <t>Ruhr Frische GmbH</t>
        </is>
      </c>
      <c r="C20" s="20" t="inlineStr">
        <is>
          <t>DE-West</t>
        </is>
      </c>
      <c r="D20" s="20" t="inlineStr">
        <is>
          <t>Getraenke</t>
        </is>
      </c>
      <c r="E20" s="14" t="n">
        <v>216480</v>
      </c>
      <c r="F20" s="13" t="n">
        <v>205656</v>
      </c>
      <c r="G20" s="12" t="n">
        <v>349.53</v>
      </c>
      <c r="H20" s="12" t="n">
        <v>225.5</v>
      </c>
      <c r="I20" s="12">
        <f>IF($H20&gt;0,$H20,IFERROR($G20/Import_Mapping!$B$7,0))</f>
        <v/>
      </c>
    </row>
    <row r="21">
      <c r="A21" s="11" t="n">
        <v>45670</v>
      </c>
      <c r="B21" s="20" t="inlineStr">
        <is>
          <t>Elbe Handel GmbH</t>
        </is>
      </c>
      <c r="C21" s="20" t="inlineStr">
        <is>
          <t>DE-Nord</t>
        </is>
      </c>
      <c r="D21" s="20" t="inlineStr">
        <is>
          <t>Getraenke</t>
        </is>
      </c>
      <c r="E21" s="14" t="n">
        <v>148032</v>
      </c>
      <c r="F21" s="13" t="n">
        <v>140630.4</v>
      </c>
      <c r="G21" s="12" t="n">
        <v>239.01</v>
      </c>
      <c r="H21" s="12" t="n">
        <v>154.2</v>
      </c>
      <c r="I21" s="12">
        <f>IF($H21&gt;0,$H21,IFERROR($G21/Import_Mapping!$B$7,0))</f>
        <v/>
      </c>
    </row>
    <row r="22">
      <c r="A22" s="11" t="n">
        <v>45671</v>
      </c>
      <c r="B22" s="20" t="inlineStr">
        <is>
          <t>Randstad Retail BV</t>
        </is>
      </c>
      <c r="C22" s="20" t="inlineStr">
        <is>
          <t>NL</t>
        </is>
      </c>
      <c r="D22" s="20" t="inlineStr">
        <is>
          <t>Getraenke</t>
        </is>
      </c>
      <c r="E22" s="14" t="n">
        <v>41184</v>
      </c>
      <c r="F22" s="13" t="n">
        <v>39124.8</v>
      </c>
      <c r="G22" s="12" t="n">
        <v>66.5</v>
      </c>
      <c r="H22" s="12" t="n">
        <v>42.9</v>
      </c>
      <c r="I22" s="12">
        <f>IF($H22&gt;0,$H22,IFERROR($G22/Import_Mapping!$B$7,0))</f>
        <v/>
      </c>
    </row>
    <row r="23">
      <c r="A23" s="11" t="n">
        <v>45671</v>
      </c>
      <c r="B23" s="20" t="inlineStr">
        <is>
          <t>Randstad Retail BV</t>
        </is>
      </c>
      <c r="C23" s="20" t="inlineStr">
        <is>
          <t>NL</t>
        </is>
      </c>
      <c r="D23" s="20" t="inlineStr">
        <is>
          <t>Trockensortiment</t>
        </is>
      </c>
      <c r="E23" s="14" t="n">
        <v>49176</v>
      </c>
      <c r="F23" s="13" t="n">
        <v>90975.60000000001</v>
      </c>
      <c r="G23" s="12" t="n">
        <v>99.03</v>
      </c>
      <c r="H23" s="12" t="n">
        <v>68.3</v>
      </c>
      <c r="I23" s="12">
        <f>IF($H23&gt;0,$H23,IFERROR($G23/Import_Mapping!$B$7,0))</f>
        <v/>
      </c>
    </row>
    <row r="24">
      <c r="A24" s="11" t="n">
        <v>45671</v>
      </c>
      <c r="B24" s="20" t="inlineStr">
        <is>
          <t>Odra Handel Sp.</t>
        </is>
      </c>
      <c r="C24" s="20" t="inlineStr">
        <is>
          <t>PL</t>
        </is>
      </c>
      <c r="D24" s="20" t="inlineStr">
        <is>
          <t>Trockensortiment</t>
        </is>
      </c>
      <c r="E24" s="14" t="n">
        <v>27792</v>
      </c>
      <c r="F24" s="13" t="n">
        <v>51415.2</v>
      </c>
      <c r="G24" s="12" t="n">
        <v>55.97</v>
      </c>
      <c r="H24" s="12" t="n">
        <v>38.6</v>
      </c>
      <c r="I24" s="12">
        <f>IF($H24&gt;0,$H24,IFERROR($G24/Import_Mapping!$B$7,0))</f>
        <v/>
      </c>
    </row>
    <row r="25">
      <c r="A25" s="11" t="n">
        <v>45672</v>
      </c>
      <c r="B25" s="20" t="inlineStr">
        <is>
          <t>Donau Handel AG</t>
        </is>
      </c>
      <c r="C25" s="20" t="inlineStr">
        <is>
          <t>DE-Sued</t>
        </is>
      </c>
      <c r="D25" s="20" t="inlineStr">
        <is>
          <t>Aktionsware</t>
        </is>
      </c>
      <c r="E25" s="14" t="n">
        <v>13464</v>
      </c>
      <c r="F25" s="13" t="n">
        <v>83476.8</v>
      </c>
      <c r="G25" s="12" t="n">
        <v>56.1</v>
      </c>
      <c r="H25" s="12" t="n">
        <v>37.4</v>
      </c>
      <c r="I25" s="12">
        <f>IF($H25&gt;0,$H25,IFERROR($G25/Import_Mapping!$B$7,0))</f>
        <v/>
      </c>
    </row>
    <row r="26">
      <c r="A26" s="11" t="n">
        <v>45672</v>
      </c>
      <c r="B26" s="20" t="inlineStr">
        <is>
          <t>Wisla Retail Sp.</t>
        </is>
      </c>
      <c r="C26" s="20" t="inlineStr">
        <is>
          <t>PL</t>
        </is>
      </c>
      <c r="D26" s="20" t="inlineStr">
        <is>
          <t>Aktionsware</t>
        </is>
      </c>
      <c r="E26" s="14" t="n">
        <v>21024</v>
      </c>
      <c r="F26" s="13" t="n">
        <v>130348.8</v>
      </c>
      <c r="G26" s="12" t="n">
        <v>87.59999999999999</v>
      </c>
      <c r="H26" s="12" t="n">
        <v>58.4</v>
      </c>
      <c r="I26" s="12">
        <f>IF($H26&gt;0,$H26,IFERROR($G26/Import_Mapping!$B$7,0))</f>
        <v/>
      </c>
    </row>
    <row r="27">
      <c r="A27" s="11" t="n">
        <v>45673</v>
      </c>
      <c r="B27" s="20" t="inlineStr">
        <is>
          <t>Delta Foods BV</t>
        </is>
      </c>
      <c r="C27" s="20" t="inlineStr">
        <is>
          <t>NL</t>
        </is>
      </c>
      <c r="D27" s="20" t="inlineStr">
        <is>
          <t>Non-Food</t>
        </is>
      </c>
      <c r="E27" s="14" t="n">
        <v>6336</v>
      </c>
      <c r="F27" s="13" t="n">
        <v>79200</v>
      </c>
      <c r="G27" s="12" t="n">
        <v>42.24</v>
      </c>
      <c r="H27" s="12" t="n">
        <v>26.4</v>
      </c>
      <c r="I27" s="12">
        <f>IF($H27&gt;0,$H27,IFERROR($G27/Import_Mapping!$B$7,0))</f>
        <v/>
      </c>
    </row>
    <row r="28">
      <c r="A28" s="11" t="n">
        <v>45674</v>
      </c>
      <c r="B28" s="20" t="inlineStr">
        <is>
          <t>Hessen Vertrieb GmbH</t>
        </is>
      </c>
      <c r="C28" s="20" t="inlineStr">
        <is>
          <t>DE-Mitte</t>
        </is>
      </c>
      <c r="D28" s="20" t="inlineStr">
        <is>
          <t>Aktionsware</t>
        </is>
      </c>
      <c r="E28" s="14" t="n">
        <v>11448</v>
      </c>
      <c r="F28" s="13" t="n">
        <v>70977.60000000001</v>
      </c>
      <c r="G28" s="12" t="n">
        <v>47.7</v>
      </c>
      <c r="H28" s="12" t="n">
        <v>31.8</v>
      </c>
      <c r="I28" s="12">
        <f>IF($H28&gt;0,$H28,IFERROR($G28/Import_Mapping!$B$7,0))</f>
        <v/>
      </c>
    </row>
    <row r="29">
      <c r="A29" s="11" t="n">
        <v>45674</v>
      </c>
      <c r="B29" s="20" t="inlineStr">
        <is>
          <t>Donau Handel AG</t>
        </is>
      </c>
      <c r="C29" s="20" t="inlineStr">
        <is>
          <t>DE-Sued</t>
        </is>
      </c>
      <c r="D29" s="20" t="inlineStr">
        <is>
          <t>Getraenke</t>
        </is>
      </c>
      <c r="E29" s="14" t="n">
        <v>180288</v>
      </c>
      <c r="F29" s="13" t="n">
        <v>171273.6</v>
      </c>
      <c r="G29" s="12" t="n">
        <v>291.09</v>
      </c>
      <c r="H29" s="12" t="n">
        <v>187.8</v>
      </c>
      <c r="I29" s="12">
        <f>IF($H29&gt;0,$H29,IFERROR($G29/Import_Mapping!$B$7,0))</f>
        <v/>
      </c>
    </row>
    <row r="30">
      <c r="A30" s="11" t="n">
        <v>45674</v>
      </c>
      <c r="B30" s="20" t="inlineStr">
        <is>
          <t>Wisla Retail Sp.</t>
        </is>
      </c>
      <c r="C30" s="20" t="inlineStr">
        <is>
          <t>PL</t>
        </is>
      </c>
      <c r="D30" s="20" t="inlineStr">
        <is>
          <t>Non-Food</t>
        </is>
      </c>
      <c r="E30" s="14" t="n">
        <v>10992</v>
      </c>
      <c r="F30" s="13" t="n">
        <v>137400</v>
      </c>
      <c r="G30" s="12" t="n">
        <v>73.28</v>
      </c>
      <c r="H30" s="12" t="n">
        <v>45.8</v>
      </c>
      <c r="I30" s="12">
        <f>IF($H30&gt;0,$H30,IFERROR($G30/Import_Mapping!$B$7,0))</f>
        <v/>
      </c>
    </row>
    <row r="31">
      <c r="A31" s="11" t="n">
        <v>45675</v>
      </c>
      <c r="B31" s="20" t="inlineStr">
        <is>
          <t>Hessen Vertrieb GmbH</t>
        </is>
      </c>
      <c r="C31" s="20" t="inlineStr">
        <is>
          <t>DE-Mitte</t>
        </is>
      </c>
      <c r="D31" s="20" t="inlineStr">
        <is>
          <t>Kuehlware</t>
        </is>
      </c>
      <c r="E31" s="14" t="n">
        <v>28848</v>
      </c>
      <c r="F31" s="13" t="n">
        <v>98083.2</v>
      </c>
      <c r="G31" s="12" t="n">
        <v>78.13</v>
      </c>
      <c r="H31" s="12" t="n">
        <v>60.1</v>
      </c>
      <c r="I31" s="12">
        <f>IF($H31&gt;0,$H31,IFERROR($G31/Import_Mapping!$B$7,0))</f>
        <v/>
      </c>
    </row>
    <row r="32">
      <c r="A32" s="11" t="n">
        <v>45675</v>
      </c>
      <c r="B32" s="20" t="inlineStr">
        <is>
          <t>Sachsen Handel GmbH</t>
        </is>
      </c>
      <c r="C32" s="20" t="inlineStr">
        <is>
          <t>DE-Ost</t>
        </is>
      </c>
      <c r="D32" s="20" t="inlineStr">
        <is>
          <t>Trockensortiment</t>
        </is>
      </c>
      <c r="E32" s="14" t="n">
        <v>62568</v>
      </c>
      <c r="F32" s="13" t="n">
        <v>115750.8</v>
      </c>
      <c r="G32" s="12" t="n">
        <v>126.01</v>
      </c>
      <c r="H32" s="12" t="n">
        <v>86.90000000000001</v>
      </c>
      <c r="I32" s="12">
        <f>IF($H32&gt;0,$H32,IFERROR($G32/Import_Mapping!$B$7,0))</f>
        <v/>
      </c>
    </row>
    <row r="33">
      <c r="A33" s="11" t="n">
        <v>45675</v>
      </c>
      <c r="B33" s="20" t="inlineStr">
        <is>
          <t>Ruhr Frische GmbH</t>
        </is>
      </c>
      <c r="C33" s="20" t="inlineStr">
        <is>
          <t>DE-West</t>
        </is>
      </c>
      <c r="D33" s="20" t="inlineStr">
        <is>
          <t>Aktionsware</t>
        </is>
      </c>
      <c r="E33" s="14" t="n">
        <v>19224</v>
      </c>
      <c r="F33" s="13" t="n">
        <v>119188.8</v>
      </c>
      <c r="G33" s="12" t="n">
        <v>80.09999999999999</v>
      </c>
      <c r="H33" s="12" t="n">
        <v>53.4</v>
      </c>
      <c r="I33" s="12">
        <f>IF($H33&gt;0,$H33,IFERROR($G33/Import_Mapping!$B$7,0))</f>
        <v/>
      </c>
    </row>
    <row r="34">
      <c r="A34" s="11" t="n">
        <v>45675</v>
      </c>
      <c r="B34" s="20" t="inlineStr">
        <is>
          <t>Ruhr Frische GmbH</t>
        </is>
      </c>
      <c r="C34" s="20" t="inlineStr">
        <is>
          <t>DE-West</t>
        </is>
      </c>
      <c r="D34" s="20" t="inlineStr">
        <is>
          <t>Trockensortiment</t>
        </is>
      </c>
      <c r="E34" s="14" t="n">
        <v>150120</v>
      </c>
      <c r="F34" s="13" t="n">
        <v>277722</v>
      </c>
      <c r="G34" s="12" t="n">
        <v>302.32</v>
      </c>
      <c r="H34" s="12" t="n">
        <v>208.5</v>
      </c>
      <c r="I34" s="12">
        <f>IF($H34&gt;0,$H34,IFERROR($G34/Import_Mapping!$B$7,0))</f>
        <v/>
      </c>
    </row>
    <row r="35">
      <c r="A35" s="11" t="n">
        <v>45676</v>
      </c>
      <c r="B35" s="20" t="inlineStr">
        <is>
          <t>Randstad Retail BV</t>
        </is>
      </c>
      <c r="C35" s="20" t="inlineStr">
        <is>
          <t>NL</t>
        </is>
      </c>
      <c r="D35" s="20" t="inlineStr">
        <is>
          <t>Kuehlware</t>
        </is>
      </c>
      <c r="E35" s="14" t="n">
        <v>22416</v>
      </c>
      <c r="F35" s="13" t="n">
        <v>76214.39999999999</v>
      </c>
      <c r="G35" s="12" t="n">
        <v>60.71</v>
      </c>
      <c r="H35" s="12" t="n">
        <v>46.7</v>
      </c>
      <c r="I35" s="12">
        <f>IF($H35&gt;0,$H35,IFERROR($G35/Import_Mapping!$B$7,0))</f>
        <v/>
      </c>
    </row>
    <row r="36">
      <c r="A36" s="11" t="n">
        <v>45677</v>
      </c>
      <c r="B36" s="20" t="inlineStr">
        <is>
          <t>Tirol Handel AG</t>
        </is>
      </c>
      <c r="C36" s="20" t="inlineStr">
        <is>
          <t>AT</t>
        </is>
      </c>
      <c r="D36" s="20" t="inlineStr">
        <is>
          <t>Aktionsware</t>
        </is>
      </c>
      <c r="E36" s="14" t="n">
        <v>4536</v>
      </c>
      <c r="F36" s="13" t="n">
        <v>28123.2</v>
      </c>
      <c r="G36" s="12" t="n">
        <v>18.9</v>
      </c>
      <c r="H36" s="12" t="n">
        <v>12.6</v>
      </c>
      <c r="I36" s="12">
        <f>IF($H36&gt;0,$H36,IFERROR($G36/Import_Mapping!$B$7,0))</f>
        <v/>
      </c>
    </row>
    <row r="37">
      <c r="A37" s="11" t="n">
        <v>45677</v>
      </c>
      <c r="B37" s="20" t="inlineStr">
        <is>
          <t>Westfilial AG</t>
        </is>
      </c>
      <c r="C37" s="20" t="inlineStr">
        <is>
          <t>DE-West</t>
        </is>
      </c>
      <c r="D37" s="20" t="inlineStr">
        <is>
          <t>Non-Food</t>
        </is>
      </c>
      <c r="E37" s="14" t="n">
        <v>14952</v>
      </c>
      <c r="F37" s="13" t="n">
        <v>186900</v>
      </c>
      <c r="G37" s="12" t="n">
        <v>99.68000000000001</v>
      </c>
      <c r="H37" s="12" t="n">
        <v>62.3</v>
      </c>
      <c r="I37" s="12">
        <f>IF($H37&gt;0,$H37,IFERROR($G37/Import_Mapping!$B$7,0))</f>
        <v/>
      </c>
    </row>
    <row r="38">
      <c r="A38" s="11" t="n">
        <v>45678</v>
      </c>
      <c r="B38" s="20" t="inlineStr">
        <is>
          <t>Spree Markt AG</t>
        </is>
      </c>
      <c r="C38" s="20" t="inlineStr">
        <is>
          <t>DE-Ost</t>
        </is>
      </c>
      <c r="D38" s="20" t="inlineStr">
        <is>
          <t>Aktionsware</t>
        </is>
      </c>
      <c r="E38" s="14" t="n">
        <v>8784</v>
      </c>
      <c r="F38" s="13" t="n">
        <v>54460.8</v>
      </c>
      <c r="G38" s="12" t="n">
        <v>36.6</v>
      </c>
      <c r="H38" s="12" t="n">
        <v>24.4</v>
      </c>
      <c r="I38" s="12">
        <f>IF($H38&gt;0,$H38,IFERROR($G38/Import_Mapping!$B$7,0))</f>
        <v/>
      </c>
    </row>
    <row r="39">
      <c r="A39" s="11" t="n">
        <v>45678</v>
      </c>
      <c r="B39" s="20" t="inlineStr">
        <is>
          <t>Wisla Retail Sp.</t>
        </is>
      </c>
      <c r="C39" s="20" t="inlineStr">
        <is>
          <t>PL</t>
        </is>
      </c>
      <c r="D39" s="20" t="inlineStr">
        <is>
          <t>Kuehlware</t>
        </is>
      </c>
      <c r="E39" s="14" t="n">
        <v>8592</v>
      </c>
      <c r="F39" s="13" t="n">
        <v>29212.8</v>
      </c>
      <c r="G39" s="12" t="n">
        <v>23.27</v>
      </c>
      <c r="H39" s="12" t="n">
        <v>17.9</v>
      </c>
      <c r="I39" s="12">
        <f>IF($H39&gt;0,$H39,IFERROR($G39/Import_Mapping!$B$7,0))</f>
        <v/>
      </c>
    </row>
    <row r="40">
      <c r="A40" s="11" t="n">
        <v>45679</v>
      </c>
      <c r="B40" s="20" t="inlineStr">
        <is>
          <t>Austria Markt GmbH</t>
        </is>
      </c>
      <c r="C40" s="20" t="inlineStr">
        <is>
          <t>AT</t>
        </is>
      </c>
      <c r="D40" s="20" t="inlineStr">
        <is>
          <t>Getraenke</t>
        </is>
      </c>
      <c r="E40" s="14" t="n">
        <v>61440</v>
      </c>
      <c r="F40" s="13" t="n">
        <v>58368</v>
      </c>
      <c r="G40" s="12" t="n">
        <v>99.2</v>
      </c>
      <c r="H40" s="12" t="n">
        <v>64</v>
      </c>
      <c r="I40" s="12">
        <f>IF($H40&gt;0,$H40,IFERROR($G40/Import_Mapping!$B$7,0))</f>
        <v/>
      </c>
    </row>
    <row r="41">
      <c r="A41" s="11" t="n">
        <v>45679</v>
      </c>
      <c r="B41" s="20" t="inlineStr">
        <is>
          <t>Mainpunkt Handel</t>
        </is>
      </c>
      <c r="C41" s="20" t="inlineStr">
        <is>
          <t>DE-Mitte</t>
        </is>
      </c>
      <c r="D41" s="20" t="inlineStr">
        <is>
          <t>Non-Food</t>
        </is>
      </c>
      <c r="E41" s="14" t="n">
        <v>8832</v>
      </c>
      <c r="F41" s="13" t="n">
        <v>110400</v>
      </c>
      <c r="G41" s="12" t="n">
        <v>58.88</v>
      </c>
      <c r="H41" s="12" t="n">
        <v>36.8</v>
      </c>
      <c r="I41" s="12">
        <f>IF($H41&gt;0,$H41,IFERROR($G41/Import_Mapping!$B$7,0))</f>
        <v/>
      </c>
    </row>
    <row r="42">
      <c r="A42" s="11" t="n">
        <v>45679</v>
      </c>
      <c r="B42" s="20" t="inlineStr">
        <is>
          <t>Odra Handel Sp.</t>
        </is>
      </c>
      <c r="C42" s="20" t="inlineStr">
        <is>
          <t>PL</t>
        </is>
      </c>
      <c r="D42" s="20" t="inlineStr">
        <is>
          <t>Getraenke</t>
        </is>
      </c>
      <c r="E42" s="14" t="n">
        <v>34848</v>
      </c>
      <c r="F42" s="13" t="n">
        <v>33105.6</v>
      </c>
      <c r="G42" s="12" t="n">
        <v>56.27</v>
      </c>
      <c r="H42" s="12" t="n">
        <v>36.3</v>
      </c>
      <c r="I42" s="12">
        <f>IF($H42&gt;0,$H42,IFERROR($G42/Import_Mapping!$B$7,0))</f>
        <v/>
      </c>
    </row>
    <row r="43">
      <c r="A43" s="11" t="n">
        <v>45681</v>
      </c>
      <c r="B43" s="20" t="inlineStr">
        <is>
          <t>Hessen Vertrieb GmbH</t>
        </is>
      </c>
      <c r="C43" s="20" t="inlineStr">
        <is>
          <t>DE-Mitte</t>
        </is>
      </c>
      <c r="D43" s="20" t="inlineStr">
        <is>
          <t>Getraenke</t>
        </is>
      </c>
      <c r="E43" s="14" t="n">
        <v>128928</v>
      </c>
      <c r="F43" s="13" t="n">
        <v>122481.6</v>
      </c>
      <c r="G43" s="12" t="n">
        <v>208.17</v>
      </c>
      <c r="H43" s="12" t="n">
        <v>134.3</v>
      </c>
      <c r="I43" s="12">
        <f>IF($H43&gt;0,$H43,IFERROR($G43/Import_Mapping!$B$7,0))</f>
        <v/>
      </c>
    </row>
    <row r="44">
      <c r="A44" s="11" t="n">
        <v>45682</v>
      </c>
      <c r="B44" s="20" t="inlineStr">
        <is>
          <t>Elbe Handel GmbH</t>
        </is>
      </c>
      <c r="C44" s="20" t="inlineStr">
        <is>
          <t>DE-Nord</t>
        </is>
      </c>
      <c r="D44" s="20" t="inlineStr">
        <is>
          <t>Aktionsware</t>
        </is>
      </c>
      <c r="E44" s="14" t="n">
        <v>10656</v>
      </c>
      <c r="F44" s="13" t="n">
        <v>66067.2</v>
      </c>
      <c r="G44" s="12" t="n">
        <v>44.4</v>
      </c>
      <c r="H44" s="12" t="n">
        <v>29.6</v>
      </c>
      <c r="I44" s="12">
        <f>IF($H44&gt;0,$H44,IFERROR($G44/Import_Mapping!$B$7,0))</f>
        <v/>
      </c>
    </row>
    <row r="45">
      <c r="A45" s="11" t="n">
        <v>45689</v>
      </c>
      <c r="B45" s="20" t="inlineStr">
        <is>
          <t>Odra Handel Sp.</t>
        </is>
      </c>
      <c r="C45" s="20" t="inlineStr">
        <is>
          <t>PL</t>
        </is>
      </c>
      <c r="D45" s="20" t="inlineStr">
        <is>
          <t>Non-Food</t>
        </is>
      </c>
      <c r="E45" s="14" t="n">
        <v>11376</v>
      </c>
      <c r="F45" s="13" t="n">
        <v>142200</v>
      </c>
      <c r="G45" s="12" t="n">
        <v>75.84</v>
      </c>
      <c r="H45" s="12" t="n">
        <v>47.4</v>
      </c>
      <c r="I45" s="12">
        <f>IF($H45&gt;0,$H45,IFERROR($G45/Import_Mapping!$B$7,0))</f>
        <v/>
      </c>
    </row>
    <row r="46">
      <c r="A46" s="11" t="n">
        <v>45690</v>
      </c>
      <c r="B46" s="20" t="inlineStr">
        <is>
          <t>Randstad Retail BV</t>
        </is>
      </c>
      <c r="C46" s="20" t="inlineStr">
        <is>
          <t>NL</t>
        </is>
      </c>
      <c r="D46" s="20" t="inlineStr">
        <is>
          <t>Aktionsware</t>
        </is>
      </c>
      <c r="E46" s="14" t="n">
        <v>4644</v>
      </c>
      <c r="F46" s="13" t="n">
        <v>28792.8</v>
      </c>
      <c r="G46" s="12" t="n">
        <v>19.35</v>
      </c>
      <c r="H46" s="12" t="n">
        <v>12.9</v>
      </c>
      <c r="I46" s="12">
        <f>IF($H46&gt;0,$H46,IFERROR($G46/Import_Mapping!$B$7,0))</f>
        <v/>
      </c>
    </row>
    <row r="47">
      <c r="A47" s="11" t="n">
        <v>45691</v>
      </c>
      <c r="B47" s="20" t="inlineStr">
        <is>
          <t>Spree Markt AG</t>
        </is>
      </c>
      <c r="C47" s="20" t="inlineStr">
        <is>
          <t>DE-Ost</t>
        </is>
      </c>
      <c r="D47" s="20" t="inlineStr">
        <is>
          <t>Non-Food</t>
        </is>
      </c>
      <c r="E47" s="14" t="n">
        <v>6912</v>
      </c>
      <c r="F47" s="13" t="n">
        <v>86400</v>
      </c>
      <c r="G47" s="12" t="n">
        <v>46.08</v>
      </c>
      <c r="H47" s="12" t="n">
        <v>28.8</v>
      </c>
      <c r="I47" s="12">
        <f>IF($H47&gt;0,$H47,IFERROR($G47/Import_Mapping!$B$7,0))</f>
        <v/>
      </c>
    </row>
    <row r="48">
      <c r="A48" s="11" t="n">
        <v>45692</v>
      </c>
      <c r="B48" s="20" t="inlineStr">
        <is>
          <t>Elbe Handel GmbH</t>
        </is>
      </c>
      <c r="C48" s="20" t="inlineStr">
        <is>
          <t>DE-Nord</t>
        </is>
      </c>
      <c r="D48" s="20" t="inlineStr">
        <is>
          <t>Non-Food</t>
        </is>
      </c>
      <c r="E48" s="14" t="n">
        <v>11544</v>
      </c>
      <c r="F48" s="13" t="n">
        <v>144300</v>
      </c>
      <c r="G48" s="12" t="n">
        <v>76.95999999999999</v>
      </c>
      <c r="H48" s="12" t="n">
        <v>48.1</v>
      </c>
      <c r="I48" s="12">
        <f>IF($H48&gt;0,$H48,IFERROR($G48/Import_Mapping!$B$7,0))</f>
        <v/>
      </c>
    </row>
    <row r="49">
      <c r="A49" s="11" t="n">
        <v>45693</v>
      </c>
      <c r="B49" s="20" t="inlineStr">
        <is>
          <t>Tirol Handel AG</t>
        </is>
      </c>
      <c r="C49" s="20" t="inlineStr">
        <is>
          <t>AT</t>
        </is>
      </c>
      <c r="D49" s="20" t="inlineStr">
        <is>
          <t>Trockensortiment</t>
        </is>
      </c>
      <c r="E49" s="14" t="n">
        <v>32904</v>
      </c>
      <c r="F49" s="13" t="n">
        <v>60872.4</v>
      </c>
      <c r="G49" s="12" t="n">
        <v>66.27</v>
      </c>
      <c r="H49" s="12" t="n">
        <v>45.7</v>
      </c>
      <c r="I49" s="12">
        <f>IF($H49&gt;0,$H49,IFERROR($G49/Import_Mapping!$B$7,0))</f>
        <v/>
      </c>
    </row>
    <row r="50">
      <c r="A50" s="11" t="n">
        <v>45695</v>
      </c>
      <c r="B50" s="20" t="inlineStr">
        <is>
          <t>Alpenmarkt GmbH</t>
        </is>
      </c>
      <c r="C50" s="20" t="inlineStr">
        <is>
          <t>DE-Sued</t>
        </is>
      </c>
      <c r="D50" s="20" t="inlineStr">
        <is>
          <t>Aktionsware</t>
        </is>
      </c>
      <c r="E50" s="14" t="n">
        <v>12600</v>
      </c>
      <c r="F50" s="13" t="n">
        <v>78120</v>
      </c>
      <c r="G50" s="12" t="n">
        <v>52.5</v>
      </c>
      <c r="H50" s="12" t="n">
        <v>35</v>
      </c>
      <c r="I50" s="12">
        <f>IF($H50&gt;0,$H50,IFERROR($G50/Import_Mapping!$B$7,0))</f>
        <v/>
      </c>
    </row>
    <row r="51">
      <c r="A51" s="11" t="n">
        <v>45695</v>
      </c>
      <c r="B51" s="20" t="inlineStr">
        <is>
          <t>Sued Filialen KG</t>
        </is>
      </c>
      <c r="C51" s="20" t="inlineStr">
        <is>
          <t>DE-Sued</t>
        </is>
      </c>
      <c r="D51" s="20" t="inlineStr">
        <is>
          <t>Non-Food</t>
        </is>
      </c>
      <c r="E51" s="14" t="n">
        <v>13392</v>
      </c>
      <c r="F51" s="13" t="n">
        <v>167400</v>
      </c>
      <c r="G51" s="12" t="n">
        <v>89.28</v>
      </c>
      <c r="H51" s="12" t="n">
        <v>55.8</v>
      </c>
      <c r="I51" s="12">
        <f>IF($H51&gt;0,$H51,IFERROR($G51/Import_Mapping!$B$7,0))</f>
        <v/>
      </c>
    </row>
    <row r="52">
      <c r="A52" s="11" t="n">
        <v>45696</v>
      </c>
      <c r="B52" s="20" t="inlineStr">
        <is>
          <t>Austria Markt GmbH</t>
        </is>
      </c>
      <c r="C52" s="20" t="inlineStr">
        <is>
          <t>AT</t>
        </is>
      </c>
      <c r="D52" s="20" t="inlineStr">
        <is>
          <t>Non-Food</t>
        </is>
      </c>
      <c r="E52" s="14" t="n">
        <v>4272</v>
      </c>
      <c r="F52" s="13" t="n">
        <v>53400</v>
      </c>
      <c r="G52" s="12" t="n">
        <v>28.48</v>
      </c>
      <c r="H52" s="12" t="n">
        <v>17.8</v>
      </c>
      <c r="I52" s="12">
        <f>IF($H52&gt;0,$H52,IFERROR($G52/Import_Mapping!$B$7,0))</f>
        <v/>
      </c>
    </row>
    <row r="53">
      <c r="A53" s="11" t="n">
        <v>45696</v>
      </c>
      <c r="B53" s="20" t="inlineStr">
        <is>
          <t>Ruhr Frische GmbH</t>
        </is>
      </c>
      <c r="C53" s="20" t="inlineStr">
        <is>
          <t>DE-West</t>
        </is>
      </c>
      <c r="D53" s="20" t="inlineStr">
        <is>
          <t>Non-Food</t>
        </is>
      </c>
      <c r="E53" s="14" t="n">
        <v>17424</v>
      </c>
      <c r="F53" s="13" t="n">
        <v>217800</v>
      </c>
      <c r="G53" s="12" t="n">
        <v>116.16</v>
      </c>
      <c r="H53" s="12" t="n">
        <v>72.59999999999999</v>
      </c>
      <c r="I53" s="12">
        <f>IF($H53&gt;0,$H53,IFERROR($G53/Import_Mapping!$B$7,0))</f>
        <v/>
      </c>
    </row>
    <row r="54">
      <c r="A54" s="11" t="n">
        <v>45697</v>
      </c>
      <c r="B54" s="20" t="inlineStr">
        <is>
          <t>Austria Markt GmbH</t>
        </is>
      </c>
      <c r="C54" s="20" t="inlineStr">
        <is>
          <t>AT</t>
        </is>
      </c>
      <c r="D54" s="20" t="inlineStr">
        <is>
          <t>Getraenke</t>
        </is>
      </c>
      <c r="E54" s="14" t="n">
        <v>66912</v>
      </c>
      <c r="F54" s="13" t="n">
        <v>63566.4</v>
      </c>
      <c r="G54" s="12" t="n">
        <v>108.04</v>
      </c>
      <c r="H54" s="12" t="n">
        <v>69.7</v>
      </c>
      <c r="I54" s="12">
        <f>IF($H54&gt;0,$H54,IFERROR($G54/Import_Mapping!$B$7,0))</f>
        <v/>
      </c>
    </row>
    <row r="55">
      <c r="A55" s="11" t="n">
        <v>45697</v>
      </c>
      <c r="B55" s="20" t="inlineStr">
        <is>
          <t>Sachsen Handel GmbH</t>
        </is>
      </c>
      <c r="C55" s="20" t="inlineStr">
        <is>
          <t>DE-Ost</t>
        </is>
      </c>
      <c r="D55" s="20" t="inlineStr">
        <is>
          <t>Getraenke</t>
        </is>
      </c>
      <c r="E55" s="14" t="n">
        <v>121248</v>
      </c>
      <c r="F55" s="13" t="n">
        <v>115185.6</v>
      </c>
      <c r="G55" s="12" t="n">
        <v>195.77</v>
      </c>
      <c r="H55" s="12" t="n">
        <v>126.3</v>
      </c>
      <c r="I55" s="12">
        <f>IF($H55&gt;0,$H55,IFERROR($G55/Import_Mapping!$B$7,0))</f>
        <v/>
      </c>
    </row>
    <row r="56">
      <c r="A56" s="11" t="n">
        <v>45697</v>
      </c>
      <c r="B56" s="20" t="inlineStr">
        <is>
          <t>Sachsen Handel GmbH</t>
        </is>
      </c>
      <c r="C56" s="20" t="inlineStr">
        <is>
          <t>DE-Ost</t>
        </is>
      </c>
      <c r="D56" s="20" t="inlineStr">
        <is>
          <t>Kuehlware</t>
        </is>
      </c>
      <c r="E56" s="14" t="n">
        <v>32928</v>
      </c>
      <c r="F56" s="13" t="n">
        <v>111955.2</v>
      </c>
      <c r="G56" s="12" t="n">
        <v>89.18000000000001</v>
      </c>
      <c r="H56" s="12" t="n">
        <v>68.59999999999999</v>
      </c>
      <c r="I56" s="12">
        <f>IF($H56&gt;0,$H56,IFERROR($G56/Import_Mapping!$B$7,0))</f>
        <v/>
      </c>
    </row>
    <row r="57">
      <c r="A57" s="11" t="n">
        <v>45697</v>
      </c>
      <c r="B57" s="20" t="inlineStr">
        <is>
          <t>Westfilial AG</t>
        </is>
      </c>
      <c r="C57" s="20" t="inlineStr">
        <is>
          <t>DE-West</t>
        </is>
      </c>
      <c r="D57" s="20" t="inlineStr">
        <is>
          <t>Trockensortiment</t>
        </is>
      </c>
      <c r="E57" s="14" t="n">
        <v>149400</v>
      </c>
      <c r="F57" s="13" t="n">
        <v>276390</v>
      </c>
      <c r="G57" s="12" t="n">
        <v>300.88</v>
      </c>
      <c r="H57" s="12" t="n">
        <v>207.5</v>
      </c>
      <c r="I57" s="12">
        <f>IF($H57&gt;0,$H57,IFERROR($G57/Import_Mapping!$B$7,0))</f>
        <v/>
      </c>
    </row>
    <row r="58">
      <c r="A58" s="11" t="n">
        <v>45698</v>
      </c>
      <c r="B58" s="20" t="inlineStr">
        <is>
          <t>Hessen Vertrieb GmbH</t>
        </is>
      </c>
      <c r="C58" s="20" t="inlineStr">
        <is>
          <t>DE-Mitte</t>
        </is>
      </c>
      <c r="D58" s="20" t="inlineStr">
        <is>
          <t>Non-Food</t>
        </is>
      </c>
      <c r="E58" s="14" t="n">
        <v>9288</v>
      </c>
      <c r="F58" s="13" t="n">
        <v>116100</v>
      </c>
      <c r="G58" s="12" t="n">
        <v>61.92</v>
      </c>
      <c r="H58" s="12" t="n">
        <v>38.7</v>
      </c>
      <c r="I58" s="12">
        <f>IF($H58&gt;0,$H58,IFERROR($G58/Import_Mapping!$B$7,0))</f>
        <v/>
      </c>
    </row>
    <row r="59">
      <c r="A59" s="11" t="n">
        <v>45698</v>
      </c>
      <c r="B59" s="20" t="inlineStr">
        <is>
          <t>Wisla Retail Sp.</t>
        </is>
      </c>
      <c r="C59" s="20" t="inlineStr">
        <is>
          <t>PL</t>
        </is>
      </c>
      <c r="D59" s="20" t="inlineStr">
        <is>
          <t>Kuehlware</t>
        </is>
      </c>
      <c r="E59" s="14" t="n">
        <v>9264</v>
      </c>
      <c r="F59" s="13" t="n">
        <v>31497.6</v>
      </c>
      <c r="G59" s="12" t="n">
        <v>25.09</v>
      </c>
      <c r="H59" s="12" t="n">
        <v>19.3</v>
      </c>
      <c r="I59" s="12">
        <f>IF($H59&gt;0,$H59,IFERROR($G59/Import_Mapping!$B$7,0))</f>
        <v/>
      </c>
    </row>
    <row r="60">
      <c r="A60" s="11" t="n">
        <v>45699</v>
      </c>
      <c r="B60" s="20" t="inlineStr">
        <is>
          <t>Donau Handel AG</t>
        </is>
      </c>
      <c r="C60" s="20" t="inlineStr">
        <is>
          <t>DE-Sued</t>
        </is>
      </c>
      <c r="D60" s="20" t="inlineStr">
        <is>
          <t>Trockensortiment</t>
        </is>
      </c>
      <c r="E60" s="14" t="n">
        <v>124632</v>
      </c>
      <c r="F60" s="13" t="n">
        <v>230569.2</v>
      </c>
      <c r="G60" s="12" t="n">
        <v>250.99</v>
      </c>
      <c r="H60" s="12" t="n">
        <v>173.1</v>
      </c>
      <c r="I60" s="12">
        <f>IF($H60&gt;0,$H60,IFERROR($G60/Import_Mapping!$B$7,0))</f>
        <v/>
      </c>
    </row>
    <row r="61">
      <c r="A61" s="11" t="n">
        <v>45699</v>
      </c>
      <c r="B61" s="20" t="inlineStr">
        <is>
          <t>Delta Foods BV</t>
        </is>
      </c>
      <c r="C61" s="20" t="inlineStr">
        <is>
          <t>NL</t>
        </is>
      </c>
      <c r="D61" s="20" t="inlineStr">
        <is>
          <t>Non-Food</t>
        </is>
      </c>
      <c r="E61" s="14" t="n">
        <v>6048</v>
      </c>
      <c r="F61" s="13" t="n">
        <v>75600</v>
      </c>
      <c r="G61" s="12" t="n">
        <v>40.32</v>
      </c>
      <c r="H61" s="12" t="n">
        <v>25.2</v>
      </c>
      <c r="I61" s="12">
        <f>IF($H61&gt;0,$H61,IFERROR($G61/Import_Mapping!$B$7,0))</f>
        <v/>
      </c>
    </row>
    <row r="62">
      <c r="A62" s="11" t="n">
        <v>45700</v>
      </c>
      <c r="B62" s="20" t="inlineStr">
        <is>
          <t>Sachsen Handel GmbH</t>
        </is>
      </c>
      <c r="C62" s="20" t="inlineStr">
        <is>
          <t>DE-Ost</t>
        </is>
      </c>
      <c r="D62" s="20" t="inlineStr">
        <is>
          <t>Aktionsware</t>
        </is>
      </c>
      <c r="E62" s="14" t="n">
        <v>9072</v>
      </c>
      <c r="F62" s="13" t="n">
        <v>56246.4</v>
      </c>
      <c r="G62" s="12" t="n">
        <v>37.8</v>
      </c>
      <c r="H62" s="12" t="n">
        <v>25.2</v>
      </c>
      <c r="I62" s="12">
        <f>IF($H62&gt;0,$H62,IFERROR($G62/Import_Mapping!$B$7,0))</f>
        <v/>
      </c>
    </row>
    <row r="63">
      <c r="A63" s="11" t="n">
        <v>45700</v>
      </c>
      <c r="B63" s="20" t="inlineStr">
        <is>
          <t>Donau Handel AG</t>
        </is>
      </c>
      <c r="C63" s="20" t="inlineStr">
        <is>
          <t>DE-Sued</t>
        </is>
      </c>
      <c r="D63" s="20" t="inlineStr">
        <is>
          <t>Getraenke</t>
        </is>
      </c>
      <c r="E63" s="14" t="n">
        <v>221760</v>
      </c>
      <c r="F63" s="13" t="n">
        <v>210672</v>
      </c>
      <c r="G63" s="12" t="n">
        <v>358.05</v>
      </c>
      <c r="H63" s="12" t="n">
        <v>231</v>
      </c>
      <c r="I63" s="12">
        <f>IF($H63&gt;0,$H63,IFERROR($G63/Import_Mapping!$B$7,0))</f>
        <v/>
      </c>
    </row>
    <row r="64">
      <c r="A64" s="11" t="n">
        <v>45701</v>
      </c>
      <c r="B64" s="20" t="inlineStr">
        <is>
          <t>Delta Foods BV</t>
        </is>
      </c>
      <c r="C64" s="20" t="inlineStr">
        <is>
          <t>NL</t>
        </is>
      </c>
      <c r="D64" s="20" t="inlineStr">
        <is>
          <t>Getraenke</t>
        </is>
      </c>
      <c r="E64" s="14" t="n">
        <v>54432</v>
      </c>
      <c r="F64" s="13" t="n">
        <v>51710.4</v>
      </c>
      <c r="G64" s="12" t="n">
        <v>87.89</v>
      </c>
      <c r="H64" s="12" t="n">
        <v>56.7</v>
      </c>
      <c r="I64" s="12">
        <f>IF($H64&gt;0,$H64,IFERROR($G64/Import_Mapping!$B$7,0))</f>
        <v/>
      </c>
    </row>
    <row r="65">
      <c r="A65" s="11" t="n">
        <v>45703</v>
      </c>
      <c r="B65" s="20" t="inlineStr">
        <is>
          <t>Mainpunkt Handel</t>
        </is>
      </c>
      <c r="C65" s="20" t="inlineStr">
        <is>
          <t>DE-Mitte</t>
        </is>
      </c>
      <c r="D65" s="20" t="inlineStr">
        <is>
          <t>Getraenke</t>
        </is>
      </c>
      <c r="E65" s="14" t="n">
        <v>135456</v>
      </c>
      <c r="F65" s="13" t="n">
        <v>128683.2</v>
      </c>
      <c r="G65" s="12" t="n">
        <v>218.7</v>
      </c>
      <c r="H65" s="12" t="n">
        <v>141.1</v>
      </c>
      <c r="I65" s="12">
        <f>IF($H65&gt;0,$H65,IFERROR($G65/Import_Mapping!$B$7,0))</f>
        <v/>
      </c>
    </row>
    <row r="66">
      <c r="A66" s="11" t="n">
        <v>45703</v>
      </c>
      <c r="B66" s="20" t="inlineStr">
        <is>
          <t>Kuestenlager KG</t>
        </is>
      </c>
      <c r="C66" s="20" t="inlineStr">
        <is>
          <t>DE-Nord</t>
        </is>
      </c>
      <c r="D66" s="20" t="inlineStr">
        <is>
          <t>Trockensortiment</t>
        </is>
      </c>
      <c r="E66" s="14" t="n">
        <v>131040</v>
      </c>
      <c r="F66" s="13" t="n">
        <v>242424</v>
      </c>
      <c r="G66" s="12" t="n">
        <v>263.9</v>
      </c>
      <c r="H66" s="12" t="n">
        <v>182</v>
      </c>
      <c r="I66" s="12">
        <f>IF($H66&gt;0,$H66,IFERROR($G66/Import_Mapping!$B$7,0))</f>
        <v/>
      </c>
    </row>
    <row r="67">
      <c r="A67" s="11" t="n">
        <v>45703</v>
      </c>
      <c r="B67" s="20" t="inlineStr">
        <is>
          <t>Randstad Retail BV</t>
        </is>
      </c>
      <c r="C67" s="20" t="inlineStr">
        <is>
          <t>NL</t>
        </is>
      </c>
      <c r="D67" s="20" t="inlineStr">
        <is>
          <t>Kuehlware</t>
        </is>
      </c>
      <c r="E67" s="14" t="n">
        <v>23856</v>
      </c>
      <c r="F67" s="13" t="n">
        <v>81110.39999999999</v>
      </c>
      <c r="G67" s="12" t="n">
        <v>64.61</v>
      </c>
      <c r="H67" s="12" t="n">
        <v>49.7</v>
      </c>
      <c r="I67" s="12">
        <f>IF($H67&gt;0,$H67,IFERROR($G67/Import_Mapping!$B$7,0))</f>
        <v/>
      </c>
    </row>
    <row r="68">
      <c r="A68" s="11" t="n">
        <v>45703</v>
      </c>
      <c r="B68" s="20" t="inlineStr">
        <is>
          <t>Odra Handel Sp.</t>
        </is>
      </c>
      <c r="C68" s="20" t="inlineStr">
        <is>
          <t>PL</t>
        </is>
      </c>
      <c r="D68" s="20" t="inlineStr">
        <is>
          <t>Aktionsware</t>
        </is>
      </c>
      <c r="E68" s="14" t="n">
        <v>18864</v>
      </c>
      <c r="F68" s="13" t="n">
        <v>116956.8</v>
      </c>
      <c r="G68" s="12" t="n">
        <v>78.59999999999999</v>
      </c>
      <c r="H68" s="12" t="n">
        <v>52.4</v>
      </c>
      <c r="I68" s="12">
        <f>IF($H68&gt;0,$H68,IFERROR($G68/Import_Mapping!$B$7,0))</f>
        <v/>
      </c>
    </row>
    <row r="69">
      <c r="A69" s="11" t="n">
        <v>45704</v>
      </c>
      <c r="B69" s="20" t="inlineStr">
        <is>
          <t>Sachsen Handel GmbH</t>
        </is>
      </c>
      <c r="C69" s="20" t="inlineStr">
        <is>
          <t>DE-Ost</t>
        </is>
      </c>
      <c r="D69" s="20" t="inlineStr">
        <is>
          <t>Trockensortiment</t>
        </is>
      </c>
      <c r="E69" s="14" t="n">
        <v>67536</v>
      </c>
      <c r="F69" s="13" t="n">
        <v>124941.6</v>
      </c>
      <c r="G69" s="12" t="n">
        <v>136.01</v>
      </c>
      <c r="H69" s="12" t="n">
        <v>93.8</v>
      </c>
      <c r="I69" s="12">
        <f>IF($H69&gt;0,$H69,IFERROR($G69/Import_Mapping!$B$7,0))</f>
        <v/>
      </c>
    </row>
    <row r="70">
      <c r="A70" s="11" t="n">
        <v>45705</v>
      </c>
      <c r="B70" s="20" t="inlineStr">
        <is>
          <t>Austria Markt GmbH</t>
        </is>
      </c>
      <c r="C70" s="20" t="inlineStr">
        <is>
          <t>AT</t>
        </is>
      </c>
      <c r="D70" s="20" t="inlineStr">
        <is>
          <t>Aktionsware</t>
        </is>
      </c>
      <c r="E70" s="14" t="n">
        <v>4500</v>
      </c>
      <c r="F70" s="13" t="n">
        <v>27900</v>
      </c>
      <c r="G70" s="12" t="n">
        <v>18.75</v>
      </c>
      <c r="H70" s="12" t="n">
        <v>12.5</v>
      </c>
      <c r="I70" s="12">
        <f>IF($H70&gt;0,$H70,IFERROR($G70/Import_Mapping!$B$7,0))</f>
        <v/>
      </c>
    </row>
    <row r="71">
      <c r="A71" s="11" t="n">
        <v>45705</v>
      </c>
      <c r="B71" s="20" t="inlineStr">
        <is>
          <t>Sued Filialen KG</t>
        </is>
      </c>
      <c r="C71" s="20" t="inlineStr">
        <is>
          <t>DE-Sued</t>
        </is>
      </c>
      <c r="D71" s="20" t="inlineStr">
        <is>
          <t>Kuehlware</t>
        </is>
      </c>
      <c r="E71" s="14" t="n">
        <v>50784</v>
      </c>
      <c r="F71" s="13" t="n">
        <v>172665.6</v>
      </c>
      <c r="G71" s="12" t="n">
        <v>137.54</v>
      </c>
      <c r="H71" s="12" t="n">
        <v>105.8</v>
      </c>
      <c r="I71" s="12">
        <f>IF($H71&gt;0,$H71,IFERROR($G71/Import_Mapping!$B$7,0))</f>
        <v/>
      </c>
    </row>
    <row r="72">
      <c r="A72" s="11" t="n">
        <v>45706</v>
      </c>
      <c r="B72" s="20" t="inlineStr">
        <is>
          <t>Delta Foods BV</t>
        </is>
      </c>
      <c r="C72" s="20" t="inlineStr">
        <is>
          <t>NL</t>
        </is>
      </c>
      <c r="D72" s="20" t="inlineStr">
        <is>
          <t>Trockensortiment</t>
        </is>
      </c>
      <c r="E72" s="14" t="n">
        <v>48240</v>
      </c>
      <c r="F72" s="13" t="n">
        <v>89244</v>
      </c>
      <c r="G72" s="12" t="n">
        <v>97.15000000000001</v>
      </c>
      <c r="H72" s="12" t="n">
        <v>67</v>
      </c>
      <c r="I72" s="12">
        <f>IF($H72&gt;0,$H72,IFERROR($G72/Import_Mapping!$B$7,0))</f>
        <v/>
      </c>
    </row>
    <row r="73">
      <c r="A73" s="11" t="n">
        <v>45707</v>
      </c>
      <c r="B73" s="20" t="inlineStr">
        <is>
          <t>Tirol Handel AG</t>
        </is>
      </c>
      <c r="C73" s="20" t="inlineStr">
        <is>
          <t>AT</t>
        </is>
      </c>
      <c r="D73" s="20" t="inlineStr">
        <is>
          <t>Kuehlware</t>
        </is>
      </c>
      <c r="E73" s="14" t="n">
        <v>14544</v>
      </c>
      <c r="F73" s="13" t="n">
        <v>49449.6</v>
      </c>
      <c r="G73" s="12" t="n">
        <v>39.39</v>
      </c>
      <c r="H73" s="12" t="n">
        <v>30.3</v>
      </c>
      <c r="I73" s="12">
        <f>IF($H73&gt;0,$H73,IFERROR($G73/Import_Mapping!$B$7,0))</f>
        <v/>
      </c>
    </row>
    <row r="74">
      <c r="A74" s="11" t="n">
        <v>45707</v>
      </c>
      <c r="B74" s="20" t="inlineStr">
        <is>
          <t>Wisla Retail Sp.</t>
        </is>
      </c>
      <c r="C74" s="20" t="inlineStr">
        <is>
          <t>PL</t>
        </is>
      </c>
      <c r="D74" s="20" t="inlineStr">
        <is>
          <t>Getraenke</t>
        </is>
      </c>
      <c r="E74" s="14" t="n">
        <v>43968</v>
      </c>
      <c r="F74" s="13" t="n">
        <v>41769.6</v>
      </c>
      <c r="G74" s="12" t="n">
        <v>70.98999999999999</v>
      </c>
      <c r="H74" s="12" t="n">
        <v>45.8</v>
      </c>
      <c r="I74" s="12">
        <f>IF($H74&gt;0,$H74,IFERROR($G74/Import_Mapping!$B$7,0))</f>
        <v/>
      </c>
    </row>
    <row r="75">
      <c r="A75" s="11" t="n">
        <v>45708</v>
      </c>
      <c r="B75" s="20" t="inlineStr">
        <is>
          <t>Hessen Vertrieb GmbH</t>
        </is>
      </c>
      <c r="C75" s="20" t="inlineStr">
        <is>
          <t>DE-Mitte</t>
        </is>
      </c>
      <c r="D75" s="20" t="inlineStr">
        <is>
          <t>Kuehlware</t>
        </is>
      </c>
      <c r="E75" s="14" t="n">
        <v>29760</v>
      </c>
      <c r="F75" s="13" t="n">
        <v>101184</v>
      </c>
      <c r="G75" s="12" t="n">
        <v>80.59999999999999</v>
      </c>
      <c r="H75" s="12" t="n">
        <v>62</v>
      </c>
      <c r="I75" s="12">
        <f>IF($H75&gt;0,$H75,IFERROR($G75/Import_Mapping!$B$7,0))</f>
        <v/>
      </c>
    </row>
    <row r="76">
      <c r="A76" s="11" t="n">
        <v>45708</v>
      </c>
      <c r="B76" s="20" t="inlineStr">
        <is>
          <t>Ruhr Frische GmbH</t>
        </is>
      </c>
      <c r="C76" s="20" t="inlineStr">
        <is>
          <t>DE-West</t>
        </is>
      </c>
      <c r="D76" s="20" t="inlineStr">
        <is>
          <t>Getraenke</t>
        </is>
      </c>
      <c r="E76" s="14" t="n">
        <v>213216</v>
      </c>
      <c r="F76" s="13" t="n">
        <v>202555.2</v>
      </c>
      <c r="G76" s="12" t="n">
        <v>344.25</v>
      </c>
      <c r="H76" s="12" t="n">
        <v>222.1</v>
      </c>
      <c r="I76" s="12">
        <f>IF($H76&gt;0,$H76,IFERROR($G76/Import_Mapping!$B$7,0))</f>
        <v/>
      </c>
    </row>
    <row r="77">
      <c r="A77" s="11" t="n">
        <v>45708</v>
      </c>
      <c r="B77" s="20" t="inlineStr">
        <is>
          <t>Westfilial AG</t>
        </is>
      </c>
      <c r="C77" s="20" t="inlineStr">
        <is>
          <t>DE-West</t>
        </is>
      </c>
      <c r="D77" s="20" t="inlineStr">
        <is>
          <t>Kuehlware</t>
        </is>
      </c>
      <c r="E77" s="14" t="n">
        <v>64800</v>
      </c>
      <c r="F77" s="13" t="n">
        <v>220320</v>
      </c>
      <c r="G77" s="12" t="n">
        <v>175.5</v>
      </c>
      <c r="H77" s="12" t="n">
        <v>135</v>
      </c>
      <c r="I77" s="12">
        <f>IF($H77&gt;0,$H77,IFERROR($G77/Import_Mapping!$B$7,0))</f>
        <v/>
      </c>
    </row>
    <row r="78">
      <c r="A78" s="11" t="n">
        <v>45709</v>
      </c>
      <c r="B78" s="20" t="inlineStr">
        <is>
          <t>Mainpunkt Handel</t>
        </is>
      </c>
      <c r="C78" s="20" t="inlineStr">
        <is>
          <t>DE-Mitte</t>
        </is>
      </c>
      <c r="D78" s="20" t="inlineStr">
        <is>
          <t>Trockensortiment</t>
        </is>
      </c>
      <c r="E78" s="14" t="n">
        <v>92448</v>
      </c>
      <c r="F78" s="13" t="n">
        <v>171028.8</v>
      </c>
      <c r="G78" s="12" t="n">
        <v>186.18</v>
      </c>
      <c r="H78" s="12" t="n">
        <v>128.4</v>
      </c>
      <c r="I78" s="12">
        <f>IF($H78&gt;0,$H78,IFERROR($G78/Import_Mapping!$B$7,0))</f>
        <v/>
      </c>
    </row>
    <row r="79">
      <c r="A79" s="11" t="n">
        <v>45709</v>
      </c>
      <c r="B79" s="20" t="inlineStr">
        <is>
          <t>Elbe Handel GmbH</t>
        </is>
      </c>
      <c r="C79" s="20" t="inlineStr">
        <is>
          <t>DE-Nord</t>
        </is>
      </c>
      <c r="D79" s="20" t="inlineStr">
        <is>
          <t>Aktionsware</t>
        </is>
      </c>
      <c r="E79" s="14" t="n">
        <v>11088</v>
      </c>
      <c r="F79" s="13" t="n">
        <v>68745.60000000001</v>
      </c>
      <c r="G79" s="12" t="n">
        <v>46.2</v>
      </c>
      <c r="H79" s="12" t="n">
        <v>30.8</v>
      </c>
      <c r="I79" s="12">
        <f>IF($H79&gt;0,$H79,IFERROR($G79/Import_Mapping!$B$7,0))</f>
        <v/>
      </c>
    </row>
    <row r="80">
      <c r="A80" s="11" t="n">
        <v>45710</v>
      </c>
      <c r="B80" s="20" t="inlineStr">
        <is>
          <t>Kuestenlager KG</t>
        </is>
      </c>
      <c r="C80" s="20" t="inlineStr">
        <is>
          <t>DE-Nord</t>
        </is>
      </c>
      <c r="D80" s="20" t="inlineStr">
        <is>
          <t>Kuehlware</t>
        </is>
      </c>
      <c r="E80" s="14" t="n">
        <v>64080</v>
      </c>
      <c r="F80" s="13" t="n">
        <v>217872</v>
      </c>
      <c r="G80" s="12" t="n">
        <v>173.55</v>
      </c>
      <c r="H80" s="12" t="n">
        <v>133.5</v>
      </c>
      <c r="I80" s="12">
        <f>IF($H80&gt;0,$H80,IFERROR($G80/Import_Mapping!$B$7,0))</f>
        <v/>
      </c>
    </row>
    <row r="81">
      <c r="A81" s="11" t="n">
        <v>45711</v>
      </c>
      <c r="B81" s="20" t="inlineStr">
        <is>
          <t>Hessen Vertrieb GmbH</t>
        </is>
      </c>
      <c r="C81" s="20" t="inlineStr">
        <is>
          <t>DE-Mitte</t>
        </is>
      </c>
      <c r="D81" s="20" t="inlineStr">
        <is>
          <t>Aktionsware</t>
        </is>
      </c>
      <c r="E81" s="14" t="n">
        <v>9432</v>
      </c>
      <c r="F81" s="13" t="n">
        <v>58478.4</v>
      </c>
      <c r="G81" s="12" t="n">
        <v>39.3</v>
      </c>
      <c r="H81" s="12" t="n">
        <v>26.2</v>
      </c>
      <c r="I81" s="12">
        <f>IF($H81&gt;0,$H81,IFERROR($G81/Import_Mapping!$B$7,0))</f>
        <v/>
      </c>
    </row>
    <row r="82">
      <c r="A82" s="11" t="n">
        <v>45711</v>
      </c>
      <c r="B82" s="20" t="inlineStr">
        <is>
          <t>Kuestenlager KG</t>
        </is>
      </c>
      <c r="C82" s="20" t="inlineStr">
        <is>
          <t>DE-Nord</t>
        </is>
      </c>
      <c r="D82" s="20" t="inlineStr">
        <is>
          <t>Getraenke</t>
        </is>
      </c>
      <c r="E82" s="14" t="n">
        <v>150240</v>
      </c>
      <c r="F82" s="13" t="n">
        <v>142728</v>
      </c>
      <c r="G82" s="12" t="n">
        <v>242.58</v>
      </c>
      <c r="H82" s="12" t="n">
        <v>156.5</v>
      </c>
      <c r="I82" s="12">
        <f>IF($H82&gt;0,$H82,IFERROR($G82/Import_Mapping!$B$7,0))</f>
        <v/>
      </c>
    </row>
    <row r="83">
      <c r="A83" s="11" t="n">
        <v>45712</v>
      </c>
      <c r="B83" s="20" t="inlineStr">
        <is>
          <t>Rheinland Retail SE</t>
        </is>
      </c>
      <c r="C83" s="20" t="inlineStr">
        <is>
          <t>DE-West</t>
        </is>
      </c>
      <c r="D83" s="20" t="inlineStr">
        <is>
          <t>Aktionsware</t>
        </is>
      </c>
      <c r="E83" s="14" t="n">
        <v>15480</v>
      </c>
      <c r="F83" s="13" t="n">
        <v>95976</v>
      </c>
      <c r="G83" s="12" t="n">
        <v>64.5</v>
      </c>
      <c r="H83" s="12" t="n">
        <v>43</v>
      </c>
      <c r="I83" s="12">
        <f>IF($H83&gt;0,$H83,IFERROR($G83/Import_Mapping!$B$7,0))</f>
        <v/>
      </c>
    </row>
    <row r="84">
      <c r="A84" s="11" t="n">
        <v>45712</v>
      </c>
      <c r="B84" s="20" t="inlineStr">
        <is>
          <t>Wisla Retail Sp.</t>
        </is>
      </c>
      <c r="C84" s="20" t="inlineStr">
        <is>
          <t>PL</t>
        </is>
      </c>
      <c r="D84" s="20" t="inlineStr">
        <is>
          <t>Trockensortiment</t>
        </is>
      </c>
      <c r="E84" s="14" t="n">
        <v>26496</v>
      </c>
      <c r="F84" s="13" t="n">
        <v>49017.6</v>
      </c>
      <c r="G84" s="12" t="n">
        <v>53.36</v>
      </c>
      <c r="H84" s="12" t="n">
        <v>36.8</v>
      </c>
      <c r="I84" s="12">
        <f>IF($H84&gt;0,$H84,IFERROR($G84/Import_Mapping!$B$7,0))</f>
        <v/>
      </c>
    </row>
    <row r="85">
      <c r="A85" s="11" t="n">
        <v>45717</v>
      </c>
      <c r="B85" s="20" t="inlineStr">
        <is>
          <t>Tirol Handel AG</t>
        </is>
      </c>
      <c r="C85" s="20" t="inlineStr">
        <is>
          <t>AT</t>
        </is>
      </c>
      <c r="D85" s="20" t="inlineStr">
        <is>
          <t>Aktionsware</t>
        </is>
      </c>
      <c r="E85" s="14" t="n">
        <v>3636</v>
      </c>
      <c r="F85" s="13" t="n">
        <v>22543.2</v>
      </c>
      <c r="G85" s="12" t="n">
        <v>15.15</v>
      </c>
      <c r="H85" s="12" t="n">
        <v>10.1</v>
      </c>
      <c r="I85" s="12">
        <f>IF($H85&gt;0,$H85,IFERROR($G85/Import_Mapping!$B$7,0))</f>
        <v/>
      </c>
    </row>
    <row r="86">
      <c r="A86" s="11" t="n">
        <v>45717</v>
      </c>
      <c r="B86" s="20" t="inlineStr">
        <is>
          <t>Austria Markt GmbH</t>
        </is>
      </c>
      <c r="C86" s="20" t="inlineStr">
        <is>
          <t>AT</t>
        </is>
      </c>
      <c r="D86" s="20" t="inlineStr">
        <is>
          <t>Getraenke</t>
        </is>
      </c>
      <c r="E86" s="14" t="n">
        <v>74016</v>
      </c>
      <c r="F86" s="13" t="n">
        <v>70315.2</v>
      </c>
      <c r="G86" s="12" t="n">
        <v>119.5</v>
      </c>
      <c r="H86" s="12" t="n">
        <v>77.09999999999999</v>
      </c>
      <c r="I86" s="12">
        <f>IF($H86&gt;0,$H86,IFERROR($G86/Import_Mapping!$B$7,0))</f>
        <v/>
      </c>
    </row>
    <row r="87">
      <c r="A87" s="11" t="n">
        <v>45717</v>
      </c>
      <c r="B87" s="20" t="inlineStr">
        <is>
          <t>Kuestenlager KG</t>
        </is>
      </c>
      <c r="C87" s="20" t="inlineStr">
        <is>
          <t>DE-Nord</t>
        </is>
      </c>
      <c r="D87" s="20" t="inlineStr">
        <is>
          <t>Getraenke</t>
        </is>
      </c>
      <c r="E87" s="14" t="n">
        <v>168672</v>
      </c>
      <c r="F87" s="13" t="n">
        <v>160238.4</v>
      </c>
      <c r="G87" s="12" t="n">
        <v>272.33</v>
      </c>
      <c r="H87" s="12" t="n">
        <v>175.7</v>
      </c>
      <c r="I87" s="12">
        <f>IF($H87&gt;0,$H87,IFERROR($G87/Import_Mapping!$B$7,0))</f>
        <v/>
      </c>
    </row>
    <row r="88">
      <c r="A88" s="11" t="n">
        <v>45719</v>
      </c>
      <c r="B88" s="20" t="inlineStr">
        <is>
          <t>Donau Handel AG</t>
        </is>
      </c>
      <c r="C88" s="20" t="inlineStr">
        <is>
          <t>DE-Sued</t>
        </is>
      </c>
      <c r="D88" s="20" t="inlineStr">
        <is>
          <t>Getraenke</t>
        </is>
      </c>
      <c r="E88" s="14" t="n">
        <v>249984</v>
      </c>
      <c r="F88" s="13" t="n">
        <v>237484.8</v>
      </c>
      <c r="G88" s="12" t="n">
        <v>403.62</v>
      </c>
      <c r="H88" s="12" t="n">
        <v>260.4</v>
      </c>
      <c r="I88" s="12">
        <f>IF($H88&gt;0,$H88,IFERROR($G88/Import_Mapping!$B$7,0))</f>
        <v/>
      </c>
    </row>
    <row r="89">
      <c r="A89" s="11" t="n">
        <v>45719</v>
      </c>
      <c r="B89" s="20" t="inlineStr">
        <is>
          <t>Wisla Retail Sp.</t>
        </is>
      </c>
      <c r="C89" s="20" t="inlineStr">
        <is>
          <t>PL</t>
        </is>
      </c>
      <c r="D89" s="20" t="inlineStr">
        <is>
          <t>Getraenke</t>
        </is>
      </c>
      <c r="E89" s="14" t="n">
        <v>43584</v>
      </c>
      <c r="F89" s="13" t="n">
        <v>41404.8</v>
      </c>
      <c r="G89" s="12" t="n">
        <v>70.37</v>
      </c>
      <c r="H89" s="12" t="n">
        <v>45.4</v>
      </c>
      <c r="I89" s="12">
        <f>IF($H89&gt;0,$H89,IFERROR($G89/Import_Mapping!$B$7,0))</f>
        <v/>
      </c>
    </row>
    <row r="90">
      <c r="A90" s="11" t="n">
        <v>45721</v>
      </c>
      <c r="B90" s="20" t="inlineStr">
        <is>
          <t>Hessen Vertrieb GmbH</t>
        </is>
      </c>
      <c r="C90" s="20" t="inlineStr">
        <is>
          <t>DE-Mitte</t>
        </is>
      </c>
      <c r="D90" s="20" t="inlineStr">
        <is>
          <t>Trockensortiment</t>
        </is>
      </c>
      <c r="E90" s="14" t="n">
        <v>95832</v>
      </c>
      <c r="F90" s="13" t="n">
        <v>177289.2</v>
      </c>
      <c r="G90" s="12" t="n">
        <v>192.99</v>
      </c>
      <c r="H90" s="12" t="n">
        <v>133.1</v>
      </c>
      <c r="I90" s="12">
        <f>IF($H90&gt;0,$H90,IFERROR($G90/Import_Mapping!$B$7,0))</f>
        <v/>
      </c>
    </row>
    <row r="91">
      <c r="A91" s="11" t="n">
        <v>45722</v>
      </c>
      <c r="B91" s="20" t="inlineStr">
        <is>
          <t>Austria Markt GmbH</t>
        </is>
      </c>
      <c r="C91" s="20" t="inlineStr">
        <is>
          <t>AT</t>
        </is>
      </c>
      <c r="D91" s="20" t="inlineStr">
        <is>
          <t>Non-Food</t>
        </is>
      </c>
      <c r="E91" s="14" t="n">
        <v>4776</v>
      </c>
      <c r="F91" s="13" t="n">
        <v>59700</v>
      </c>
      <c r="G91" s="12" t="n">
        <v>31.84</v>
      </c>
      <c r="H91" s="12" t="n">
        <v>19.9</v>
      </c>
      <c r="I91" s="12">
        <f>IF($H91&gt;0,$H91,IFERROR($G91/Import_Mapping!$B$7,0))</f>
        <v/>
      </c>
    </row>
    <row r="92">
      <c r="A92" s="11" t="n">
        <v>45722</v>
      </c>
      <c r="B92" s="20" t="inlineStr">
        <is>
          <t>Alpenmarkt GmbH</t>
        </is>
      </c>
      <c r="C92" s="20" t="inlineStr">
        <is>
          <t>DE-Sued</t>
        </is>
      </c>
      <c r="D92" s="20" t="inlineStr">
        <is>
          <t>Trockensortiment</t>
        </is>
      </c>
      <c r="E92" s="14" t="n">
        <v>133776</v>
      </c>
      <c r="F92" s="13" t="n">
        <v>247485.6</v>
      </c>
      <c r="G92" s="12" t="n">
        <v>269.41</v>
      </c>
      <c r="H92" s="12" t="n">
        <v>185.8</v>
      </c>
      <c r="I92" s="12">
        <f>IF($H92&gt;0,$H92,IFERROR($G92/Import_Mapping!$B$7,0))</f>
        <v/>
      </c>
    </row>
    <row r="93">
      <c r="A93" s="11" t="n">
        <v>45723</v>
      </c>
      <c r="B93" s="20" t="inlineStr">
        <is>
          <t>Mainpunkt Handel</t>
        </is>
      </c>
      <c r="C93" s="20" t="inlineStr">
        <is>
          <t>DE-Mitte</t>
        </is>
      </c>
      <c r="D93" s="20" t="inlineStr">
        <is>
          <t>Non-Food</t>
        </is>
      </c>
      <c r="E93" s="14" t="n">
        <v>9000</v>
      </c>
      <c r="F93" s="13" t="n">
        <v>112500</v>
      </c>
      <c r="G93" s="12" t="n">
        <v>60</v>
      </c>
      <c r="H93" s="12" t="n">
        <v>37.5</v>
      </c>
      <c r="I93" s="12">
        <f>IF($H93&gt;0,$H93,IFERROR($G93/Import_Mapping!$B$7,0))</f>
        <v/>
      </c>
    </row>
    <row r="94">
      <c r="A94" s="11" t="n">
        <v>45725</v>
      </c>
      <c r="B94" s="20" t="inlineStr">
        <is>
          <t>Sachsen Handel GmbH</t>
        </is>
      </c>
      <c r="C94" s="20" t="inlineStr">
        <is>
          <t>DE-Ost</t>
        </is>
      </c>
      <c r="D94" s="20" t="inlineStr">
        <is>
          <t>Aktionsware</t>
        </is>
      </c>
      <c r="E94" s="14" t="n">
        <v>8136</v>
      </c>
      <c r="F94" s="13" t="n">
        <v>50443.2</v>
      </c>
      <c r="G94" s="12" t="n">
        <v>33.9</v>
      </c>
      <c r="H94" s="12" t="n">
        <v>22.6</v>
      </c>
      <c r="I94" s="12">
        <f>IF($H94&gt;0,$H94,IFERROR($G94/Import_Mapping!$B$7,0))</f>
        <v/>
      </c>
    </row>
    <row r="95">
      <c r="A95" s="11" t="n">
        <v>45725</v>
      </c>
      <c r="B95" s="20" t="inlineStr">
        <is>
          <t>Randstad Retail BV</t>
        </is>
      </c>
      <c r="C95" s="20" t="inlineStr">
        <is>
          <t>NL</t>
        </is>
      </c>
      <c r="D95" s="20" t="inlineStr">
        <is>
          <t>Non-Food</t>
        </is>
      </c>
      <c r="E95" s="14" t="n">
        <v>7056</v>
      </c>
      <c r="F95" s="13" t="n">
        <v>88200</v>
      </c>
      <c r="G95" s="12" t="n">
        <v>47.04</v>
      </c>
      <c r="H95" s="12" t="n">
        <v>29.4</v>
      </c>
      <c r="I95" s="12">
        <f>IF($H95&gt;0,$H95,IFERROR($G95/Import_Mapping!$B$7,0))</f>
        <v/>
      </c>
    </row>
    <row r="96">
      <c r="A96" s="11" t="n">
        <v>45725</v>
      </c>
      <c r="B96" s="20" t="inlineStr">
        <is>
          <t>Wisla Retail Sp.</t>
        </is>
      </c>
      <c r="C96" s="20" t="inlineStr">
        <is>
          <t>PL</t>
        </is>
      </c>
      <c r="D96" s="20" t="inlineStr">
        <is>
          <t>Non-Food</t>
        </is>
      </c>
      <c r="E96" s="14" t="n">
        <v>12456</v>
      </c>
      <c r="F96" s="13" t="n">
        <v>155700</v>
      </c>
      <c r="G96" s="12" t="n">
        <v>83.04000000000001</v>
      </c>
      <c r="H96" s="12" t="n">
        <v>51.9</v>
      </c>
      <c r="I96" s="12">
        <f>IF($H96&gt;0,$H96,IFERROR($G96/Import_Mapping!$B$7,0))</f>
        <v/>
      </c>
    </row>
    <row r="97">
      <c r="A97" s="11" t="n">
        <v>45726</v>
      </c>
      <c r="B97" s="20" t="inlineStr">
        <is>
          <t>Spree Markt AG</t>
        </is>
      </c>
      <c r="C97" s="20" t="inlineStr">
        <is>
          <t>DE-Ost</t>
        </is>
      </c>
      <c r="D97" s="20" t="inlineStr">
        <is>
          <t>Kuehlware</t>
        </is>
      </c>
      <c r="E97" s="14" t="n">
        <v>29712</v>
      </c>
      <c r="F97" s="13" t="n">
        <v>101020.8</v>
      </c>
      <c r="G97" s="12" t="n">
        <v>80.47</v>
      </c>
      <c r="H97" s="12" t="n">
        <v>61.9</v>
      </c>
      <c r="I97" s="12">
        <f>IF($H97&gt;0,$H97,IFERROR($G97/Import_Mapping!$B$7,0))</f>
        <v/>
      </c>
    </row>
    <row r="98">
      <c r="A98" s="11" t="n">
        <v>45726</v>
      </c>
      <c r="B98" s="20" t="inlineStr">
        <is>
          <t>Donau Handel AG</t>
        </is>
      </c>
      <c r="C98" s="20" t="inlineStr">
        <is>
          <t>DE-Sued</t>
        </is>
      </c>
      <c r="D98" s="20" t="inlineStr">
        <is>
          <t>Kuehlware</t>
        </is>
      </c>
      <c r="E98" s="14" t="n">
        <v>56016</v>
      </c>
      <c r="F98" s="13" t="n">
        <v>190454.4</v>
      </c>
      <c r="G98" s="12" t="n">
        <v>151.71</v>
      </c>
      <c r="H98" s="12" t="n">
        <v>116.7</v>
      </c>
      <c r="I98" s="12">
        <f>IF($H98&gt;0,$H98,IFERROR($G98/Import_Mapping!$B$7,0))</f>
        <v/>
      </c>
    </row>
    <row r="99">
      <c r="A99" s="11" t="n">
        <v>45726</v>
      </c>
      <c r="B99" s="20" t="inlineStr">
        <is>
          <t>Rheinland Retail SE</t>
        </is>
      </c>
      <c r="C99" s="20" t="inlineStr">
        <is>
          <t>DE-West</t>
        </is>
      </c>
      <c r="D99" s="20" t="inlineStr">
        <is>
          <t>Trockensortiment</t>
        </is>
      </c>
      <c r="E99" s="14" t="n">
        <v>153864</v>
      </c>
      <c r="F99" s="13" t="n">
        <v>284648.4</v>
      </c>
      <c r="G99" s="12" t="n">
        <v>309.86</v>
      </c>
      <c r="H99" s="12" t="n">
        <v>213.7</v>
      </c>
      <c r="I99" s="12">
        <f>IF($H99&gt;0,$H99,IFERROR($G99/Import_Mapping!$B$7,0))</f>
        <v/>
      </c>
    </row>
    <row r="100">
      <c r="A100" s="11" t="n">
        <v>45726</v>
      </c>
      <c r="B100" s="20" t="inlineStr">
        <is>
          <t>Delta Foods BV</t>
        </is>
      </c>
      <c r="C100" s="20" t="inlineStr">
        <is>
          <t>NL</t>
        </is>
      </c>
      <c r="D100" s="20" t="inlineStr">
        <is>
          <t>Getraenke</t>
        </is>
      </c>
      <c r="E100" s="14" t="n">
        <v>61632</v>
      </c>
      <c r="F100" s="13" t="n">
        <v>58550.4</v>
      </c>
      <c r="G100" s="12" t="n">
        <v>99.51000000000001</v>
      </c>
      <c r="H100" s="12" t="n">
        <v>64.2</v>
      </c>
      <c r="I100" s="12">
        <f>IF($H100&gt;0,$H100,IFERROR($G100/Import_Mapping!$B$7,0))</f>
        <v/>
      </c>
    </row>
    <row r="101">
      <c r="A101" s="11" t="n">
        <v>45727</v>
      </c>
      <c r="B101" s="20" t="inlineStr">
        <is>
          <t>Sachsen Handel GmbH</t>
        </is>
      </c>
      <c r="C101" s="20" t="inlineStr">
        <is>
          <t>DE-Ost</t>
        </is>
      </c>
      <c r="D101" s="20" t="inlineStr">
        <is>
          <t>Getraenke</t>
        </is>
      </c>
      <c r="E101" s="14" t="n">
        <v>132288</v>
      </c>
      <c r="F101" s="13" t="n">
        <v>125673.6</v>
      </c>
      <c r="G101" s="12" t="n">
        <v>213.59</v>
      </c>
      <c r="H101" s="12" t="n">
        <v>137.8</v>
      </c>
      <c r="I101" s="12">
        <f>IF($H101&gt;0,$H101,IFERROR($G101/Import_Mapping!$B$7,0))</f>
        <v/>
      </c>
    </row>
    <row r="102">
      <c r="A102" s="11" t="n">
        <v>45728</v>
      </c>
      <c r="B102" s="20" t="inlineStr">
        <is>
          <t>Nordmarkt AG</t>
        </is>
      </c>
      <c r="C102" s="20" t="inlineStr">
        <is>
          <t>DE-Nord</t>
        </is>
      </c>
      <c r="D102" s="20" t="inlineStr">
        <is>
          <t>Kuehlware</t>
        </is>
      </c>
      <c r="E102" s="14" t="n">
        <v>58752</v>
      </c>
      <c r="F102" s="13" t="n">
        <v>199756.8</v>
      </c>
      <c r="G102" s="12" t="n">
        <v>159.12</v>
      </c>
      <c r="H102" s="12" t="n">
        <v>122.4</v>
      </c>
      <c r="I102" s="12">
        <f>IF($H102&gt;0,$H102,IFERROR($G102/Import_Mapping!$B$7,0))</f>
        <v/>
      </c>
    </row>
    <row r="103">
      <c r="A103" s="11" t="n">
        <v>45728</v>
      </c>
      <c r="B103" s="20" t="inlineStr">
        <is>
          <t>Rheinland Retail SE</t>
        </is>
      </c>
      <c r="C103" s="20" t="inlineStr">
        <is>
          <t>DE-West</t>
        </is>
      </c>
      <c r="D103" s="20" t="inlineStr">
        <is>
          <t>Aktionsware</t>
        </is>
      </c>
      <c r="E103" s="14" t="n">
        <v>12780</v>
      </c>
      <c r="F103" s="13" t="n">
        <v>79236</v>
      </c>
      <c r="G103" s="12" t="n">
        <v>53.25</v>
      </c>
      <c r="H103" s="12" t="n">
        <v>35.5</v>
      </c>
      <c r="I103" s="12">
        <f>IF($H103&gt;0,$H103,IFERROR($G103/Import_Mapping!$B$7,0))</f>
        <v/>
      </c>
    </row>
    <row r="104">
      <c r="A104" s="11" t="n">
        <v>45728</v>
      </c>
      <c r="B104" s="20" t="inlineStr">
        <is>
          <t>Ruhr Frische GmbH</t>
        </is>
      </c>
      <c r="C104" s="20" t="inlineStr">
        <is>
          <t>DE-West</t>
        </is>
      </c>
      <c r="D104" s="20" t="inlineStr">
        <is>
          <t>Getraenke</t>
        </is>
      </c>
      <c r="E104" s="14" t="n">
        <v>253920</v>
      </c>
      <c r="F104" s="13" t="n">
        <v>241224</v>
      </c>
      <c r="G104" s="12" t="n">
        <v>409.98</v>
      </c>
      <c r="H104" s="12" t="n">
        <v>264.5</v>
      </c>
      <c r="I104" s="12">
        <f>IF($H104&gt;0,$H104,IFERROR($G104/Import_Mapping!$B$7,0))</f>
        <v/>
      </c>
    </row>
    <row r="105">
      <c r="A105" s="11" t="n">
        <v>45728</v>
      </c>
      <c r="B105" s="20" t="inlineStr">
        <is>
          <t>Randstad Retail BV</t>
        </is>
      </c>
      <c r="C105" s="20" t="inlineStr">
        <is>
          <t>NL</t>
        </is>
      </c>
      <c r="D105" s="20" t="inlineStr">
        <is>
          <t>Trockensortiment</t>
        </is>
      </c>
      <c r="E105" s="14" t="n">
        <v>56232</v>
      </c>
      <c r="F105" s="13" t="n">
        <v>104029.2</v>
      </c>
      <c r="G105" s="12" t="n">
        <v>113.24</v>
      </c>
      <c r="H105" s="12" t="n">
        <v>78.09999999999999</v>
      </c>
      <c r="I105" s="12">
        <f>IF($H105&gt;0,$H105,IFERROR($G105/Import_Mapping!$B$7,0))</f>
        <v/>
      </c>
    </row>
    <row r="106">
      <c r="A106" s="11" t="n">
        <v>45729</v>
      </c>
      <c r="B106" s="20" t="inlineStr">
        <is>
          <t>Nordmarkt AG</t>
        </is>
      </c>
      <c r="C106" s="20" t="inlineStr">
        <is>
          <t>DE-Nord</t>
        </is>
      </c>
      <c r="D106" s="20" t="inlineStr">
        <is>
          <t>Non-Food</t>
        </is>
      </c>
      <c r="E106" s="14" t="n">
        <v>12432</v>
      </c>
      <c r="F106" s="13" t="n">
        <v>155400</v>
      </c>
      <c r="G106" s="12" t="n">
        <v>82.88</v>
      </c>
      <c r="H106" s="12" t="n">
        <v>51.8</v>
      </c>
      <c r="I106" s="12">
        <f>IF($H106&gt;0,$H106,IFERROR($G106/Import_Mapping!$B$7,0))</f>
        <v/>
      </c>
    </row>
    <row r="107">
      <c r="A107" s="11" t="n">
        <v>45729</v>
      </c>
      <c r="B107" s="20" t="inlineStr">
        <is>
          <t>Westfilial AG</t>
        </is>
      </c>
      <c r="C107" s="20" t="inlineStr">
        <is>
          <t>DE-West</t>
        </is>
      </c>
      <c r="D107" s="20" t="inlineStr">
        <is>
          <t>Kuehlware</t>
        </is>
      </c>
      <c r="E107" s="14" t="n">
        <v>66240</v>
      </c>
      <c r="F107" s="13" t="n">
        <v>225216</v>
      </c>
      <c r="G107" s="12" t="n">
        <v>179.4</v>
      </c>
      <c r="H107" s="12" t="n">
        <v>138</v>
      </c>
      <c r="I107" s="12">
        <f>IF($H107&gt;0,$H107,IFERROR($G107/Import_Mapping!$B$7,0))</f>
        <v/>
      </c>
    </row>
    <row r="108">
      <c r="A108" s="11" t="n">
        <v>45732</v>
      </c>
      <c r="B108" s="20" t="inlineStr">
        <is>
          <t>Hessen Vertrieb GmbH</t>
        </is>
      </c>
      <c r="C108" s="20" t="inlineStr">
        <is>
          <t>DE-Mitte</t>
        </is>
      </c>
      <c r="D108" s="20" t="inlineStr">
        <is>
          <t>Aktionsware</t>
        </is>
      </c>
      <c r="E108" s="14" t="n">
        <v>8352</v>
      </c>
      <c r="F108" s="13" t="n">
        <v>51782.4</v>
      </c>
      <c r="G108" s="12" t="n">
        <v>34.8</v>
      </c>
      <c r="H108" s="12" t="n">
        <v>23.2</v>
      </c>
      <c r="I108" s="12">
        <f>IF($H108&gt;0,$H108,IFERROR($G108/Import_Mapping!$B$7,0))</f>
        <v/>
      </c>
    </row>
    <row r="109">
      <c r="A109" s="11" t="n">
        <v>45732</v>
      </c>
      <c r="B109" s="20" t="inlineStr">
        <is>
          <t>Alpenmarkt GmbH</t>
        </is>
      </c>
      <c r="C109" s="20" t="inlineStr">
        <is>
          <t>DE-Sued</t>
        </is>
      </c>
      <c r="D109" s="20" t="inlineStr">
        <is>
          <t>Non-Food</t>
        </is>
      </c>
      <c r="E109" s="14" t="n">
        <v>14352</v>
      </c>
      <c r="F109" s="13" t="n">
        <v>179400</v>
      </c>
      <c r="G109" s="12" t="n">
        <v>95.68000000000001</v>
      </c>
      <c r="H109" s="12" t="n">
        <v>59.8</v>
      </c>
      <c r="I109" s="12">
        <f>IF($H109&gt;0,$H109,IFERROR($G109/Import_Mapping!$B$7,0))</f>
        <v/>
      </c>
    </row>
    <row r="110">
      <c r="A110" s="11" t="n">
        <v>45733</v>
      </c>
      <c r="B110" s="20" t="inlineStr">
        <is>
          <t>Hessen Vertrieb GmbH</t>
        </is>
      </c>
      <c r="C110" s="20" t="inlineStr">
        <is>
          <t>DE-Mitte</t>
        </is>
      </c>
      <c r="D110" s="20" t="inlineStr">
        <is>
          <t>Kuehlware</t>
        </is>
      </c>
      <c r="E110" s="14" t="n">
        <v>32496</v>
      </c>
      <c r="F110" s="13" t="n">
        <v>110486.4</v>
      </c>
      <c r="G110" s="12" t="n">
        <v>88.01000000000001</v>
      </c>
      <c r="H110" s="12" t="n">
        <v>67.7</v>
      </c>
      <c r="I110" s="12">
        <f>IF($H110&gt;0,$H110,IFERROR($G110/Import_Mapping!$B$7,0))</f>
        <v/>
      </c>
    </row>
    <row r="111">
      <c r="A111" s="11" t="n">
        <v>45733</v>
      </c>
      <c r="B111" s="20" t="inlineStr">
        <is>
          <t>Kuestenlager KG</t>
        </is>
      </c>
      <c r="C111" s="20" t="inlineStr">
        <is>
          <t>DE-Nord</t>
        </is>
      </c>
      <c r="D111" s="20" t="inlineStr">
        <is>
          <t>Trockensortiment</t>
        </is>
      </c>
      <c r="E111" s="14" t="n">
        <v>135864</v>
      </c>
      <c r="F111" s="13" t="n">
        <v>251348.4</v>
      </c>
      <c r="G111" s="12" t="n">
        <v>273.61</v>
      </c>
      <c r="H111" s="12" t="n">
        <v>188.7</v>
      </c>
      <c r="I111" s="12">
        <f>IF($H111&gt;0,$H111,IFERROR($G111/Import_Mapping!$B$7,0))</f>
        <v/>
      </c>
    </row>
    <row r="112">
      <c r="A112" s="11" t="n">
        <v>45734</v>
      </c>
      <c r="B112" s="20" t="inlineStr">
        <is>
          <t>Delta Foods BV</t>
        </is>
      </c>
      <c r="C112" s="20" t="inlineStr">
        <is>
          <t>NL</t>
        </is>
      </c>
      <c r="D112" s="20" t="inlineStr">
        <is>
          <t>Aktionsware</t>
        </is>
      </c>
      <c r="E112" s="14" t="n">
        <v>4356</v>
      </c>
      <c r="F112" s="13" t="n">
        <v>27007.2</v>
      </c>
      <c r="G112" s="12" t="n">
        <v>18.15</v>
      </c>
      <c r="H112" s="12" t="n">
        <v>12.1</v>
      </c>
      <c r="I112" s="12">
        <f>IF($H112&gt;0,$H112,IFERROR($G112/Import_Mapping!$B$7,0))</f>
        <v/>
      </c>
    </row>
    <row r="113">
      <c r="A113" s="11" t="n">
        <v>45736</v>
      </c>
      <c r="B113" s="20" t="inlineStr">
        <is>
          <t>Hessen Vertrieb GmbH</t>
        </is>
      </c>
      <c r="C113" s="20" t="inlineStr">
        <is>
          <t>DE-Mitte</t>
        </is>
      </c>
      <c r="D113" s="20" t="inlineStr">
        <is>
          <t>Getraenke</t>
        </is>
      </c>
      <c r="E113" s="14" t="n">
        <v>153024</v>
      </c>
      <c r="F113" s="13" t="n">
        <v>145372.8</v>
      </c>
      <c r="G113" s="12" t="n">
        <v>247.07</v>
      </c>
      <c r="H113" s="12" t="n">
        <v>159.4</v>
      </c>
      <c r="I113" s="12">
        <f>IF($H113&gt;0,$H113,IFERROR($G113/Import_Mapping!$B$7,0))</f>
        <v/>
      </c>
    </row>
    <row r="114">
      <c r="A114" s="11" t="n">
        <v>45736</v>
      </c>
      <c r="B114" s="20" t="inlineStr">
        <is>
          <t>Nordmarkt AG</t>
        </is>
      </c>
      <c r="C114" s="20" t="inlineStr">
        <is>
          <t>DE-Nord</t>
        </is>
      </c>
      <c r="D114" s="20" t="inlineStr">
        <is>
          <t>Aktionsware</t>
        </is>
      </c>
      <c r="E114" s="14" t="n">
        <v>8928</v>
      </c>
      <c r="F114" s="13" t="n">
        <v>55353.6</v>
      </c>
      <c r="G114" s="12" t="n">
        <v>37.2</v>
      </c>
      <c r="H114" s="12" t="n">
        <v>24.8</v>
      </c>
      <c r="I114" s="12">
        <f>IF($H114&gt;0,$H114,IFERROR($G114/Import_Mapping!$B$7,0))</f>
        <v/>
      </c>
    </row>
    <row r="115">
      <c r="A115" s="11" t="n">
        <v>45736</v>
      </c>
      <c r="B115" s="20" t="inlineStr">
        <is>
          <t>Rheinland Retail SE</t>
        </is>
      </c>
      <c r="C115" s="20" t="inlineStr">
        <is>
          <t>DE-West</t>
        </is>
      </c>
      <c r="D115" s="20" t="inlineStr">
        <is>
          <t>Non-Food</t>
        </is>
      </c>
      <c r="E115" s="14" t="n">
        <v>15408</v>
      </c>
      <c r="F115" s="13" t="n">
        <v>192600</v>
      </c>
      <c r="G115" s="12" t="n">
        <v>102.72</v>
      </c>
      <c r="H115" s="12" t="n">
        <v>64.2</v>
      </c>
      <c r="I115" s="12">
        <f>IF($H115&gt;0,$H115,IFERROR($G115/Import_Mapping!$B$7,0))</f>
        <v/>
      </c>
    </row>
    <row r="116">
      <c r="A116" s="11" t="n">
        <v>45736</v>
      </c>
      <c r="B116" s="20" t="inlineStr">
        <is>
          <t>Odra Handel Sp.</t>
        </is>
      </c>
      <c r="C116" s="20" t="inlineStr">
        <is>
          <t>PL</t>
        </is>
      </c>
      <c r="D116" s="20" t="inlineStr">
        <is>
          <t>Aktionsware</t>
        </is>
      </c>
      <c r="E116" s="14" t="n">
        <v>17316</v>
      </c>
      <c r="F116" s="13" t="n">
        <v>107359.2</v>
      </c>
      <c r="G116" s="12" t="n">
        <v>72.15000000000001</v>
      </c>
      <c r="H116" s="12" t="n">
        <v>48.1</v>
      </c>
      <c r="I116" s="12">
        <f>IF($H116&gt;0,$H116,IFERROR($G116/Import_Mapping!$B$7,0))</f>
        <v/>
      </c>
    </row>
    <row r="117">
      <c r="A117" s="11" t="n">
        <v>45737</v>
      </c>
      <c r="B117" s="20" t="inlineStr">
        <is>
          <t>Tirol Handel AG</t>
        </is>
      </c>
      <c r="C117" s="20" t="inlineStr">
        <is>
          <t>AT</t>
        </is>
      </c>
      <c r="D117" s="20" t="inlineStr">
        <is>
          <t>Kuehlware</t>
        </is>
      </c>
      <c r="E117" s="14" t="n">
        <v>14304</v>
      </c>
      <c r="F117" s="13" t="n">
        <v>48633.6</v>
      </c>
      <c r="G117" s="12" t="n">
        <v>38.74</v>
      </c>
      <c r="H117" s="12" t="n">
        <v>29.8</v>
      </c>
      <c r="I117" s="12">
        <f>IF($H117&gt;0,$H117,IFERROR($G117/Import_Mapping!$B$7,0))</f>
        <v/>
      </c>
    </row>
    <row r="118">
      <c r="A118" s="11" t="n">
        <v>45737</v>
      </c>
      <c r="B118" s="20" t="inlineStr">
        <is>
          <t>Spree Markt AG</t>
        </is>
      </c>
      <c r="C118" s="20" t="inlineStr">
        <is>
          <t>DE-Ost</t>
        </is>
      </c>
      <c r="D118" s="20" t="inlineStr">
        <is>
          <t>Non-Food</t>
        </is>
      </c>
      <c r="E118" s="14" t="n">
        <v>8376</v>
      </c>
      <c r="F118" s="13" t="n">
        <v>104700</v>
      </c>
      <c r="G118" s="12" t="n">
        <v>55.84</v>
      </c>
      <c r="H118" s="12" t="n">
        <v>34.9</v>
      </c>
      <c r="I118" s="12">
        <f>IF($H118&gt;0,$H118,IFERROR($G118/Import_Mapping!$B$7,0))</f>
        <v/>
      </c>
    </row>
    <row r="119">
      <c r="A119" s="11" t="n">
        <v>45737</v>
      </c>
      <c r="B119" s="20" t="inlineStr">
        <is>
          <t>Spree Markt AG</t>
        </is>
      </c>
      <c r="C119" s="20" t="inlineStr">
        <is>
          <t>DE-Ost</t>
        </is>
      </c>
      <c r="D119" s="20" t="inlineStr">
        <is>
          <t>Trockensortiment</t>
        </is>
      </c>
      <c r="E119" s="14" t="n">
        <v>70632</v>
      </c>
      <c r="F119" s="13" t="n">
        <v>130669.2</v>
      </c>
      <c r="G119" s="12" t="n">
        <v>142.24</v>
      </c>
      <c r="H119" s="12" t="n">
        <v>98.09999999999999</v>
      </c>
      <c r="I119" s="12">
        <f>IF($H119&gt;0,$H119,IFERROR($G119/Import_Mapping!$B$7,0))</f>
        <v/>
      </c>
    </row>
    <row r="120">
      <c r="A120" s="11" t="n">
        <v>45737</v>
      </c>
      <c r="B120" s="20" t="inlineStr">
        <is>
          <t>Delta Foods BV</t>
        </is>
      </c>
      <c r="C120" s="20" t="inlineStr">
        <is>
          <t>NL</t>
        </is>
      </c>
      <c r="D120" s="20" t="inlineStr">
        <is>
          <t>Kuehlware</t>
        </is>
      </c>
      <c r="E120" s="14" t="n">
        <v>28416</v>
      </c>
      <c r="F120" s="13" t="n">
        <v>96614.39999999999</v>
      </c>
      <c r="G120" s="12" t="n">
        <v>76.95999999999999</v>
      </c>
      <c r="H120" s="12" t="n">
        <v>59.2</v>
      </c>
      <c r="I120" s="12">
        <f>IF($H120&gt;0,$H120,IFERROR($G120/Import_Mapping!$B$7,0))</f>
        <v/>
      </c>
    </row>
    <row r="121">
      <c r="A121" s="11" t="n">
        <v>45737</v>
      </c>
      <c r="B121" s="20" t="inlineStr">
        <is>
          <t>Wisla Retail Sp.</t>
        </is>
      </c>
      <c r="C121" s="20" t="inlineStr">
        <is>
          <t>PL</t>
        </is>
      </c>
      <c r="D121" s="20" t="inlineStr">
        <is>
          <t>Kuehlware</t>
        </is>
      </c>
      <c r="E121" s="14" t="n">
        <v>8304</v>
      </c>
      <c r="F121" s="13" t="n">
        <v>28233.6</v>
      </c>
      <c r="G121" s="12" t="n">
        <v>22.49</v>
      </c>
      <c r="H121" s="12" t="n">
        <v>17.3</v>
      </c>
      <c r="I121" s="12">
        <f>IF($H121&gt;0,$H121,IFERROR($G121/Import_Mapping!$B$7,0))</f>
        <v/>
      </c>
    </row>
    <row r="122">
      <c r="A122" s="11" t="n">
        <v>45740</v>
      </c>
      <c r="B122" s="20" t="inlineStr">
        <is>
          <t>Austria Markt GmbH</t>
        </is>
      </c>
      <c r="C122" s="20" t="inlineStr">
        <is>
          <t>AT</t>
        </is>
      </c>
      <c r="D122" s="20" t="inlineStr">
        <is>
          <t>Trockensortiment</t>
        </is>
      </c>
      <c r="E122" s="14" t="n">
        <v>37512</v>
      </c>
      <c r="F122" s="13" t="n">
        <v>69397.2</v>
      </c>
      <c r="G122" s="12" t="n">
        <v>75.55</v>
      </c>
      <c r="H122" s="12" t="n">
        <v>52.1</v>
      </c>
      <c r="I122" s="12">
        <f>IF($H122&gt;0,$H122,IFERROR($G122/Import_Mapping!$B$7,0))</f>
        <v/>
      </c>
    </row>
    <row r="123">
      <c r="A123" s="11" t="n">
        <v>45740</v>
      </c>
      <c r="B123" s="20" t="inlineStr">
        <is>
          <t>Alpenmarkt GmbH</t>
        </is>
      </c>
      <c r="C123" s="20" t="inlineStr">
        <is>
          <t>DE-Sued</t>
        </is>
      </c>
      <c r="D123" s="20" t="inlineStr">
        <is>
          <t>Aktionsware</t>
        </is>
      </c>
      <c r="E123" s="14" t="n">
        <v>10800</v>
      </c>
      <c r="F123" s="13" t="n">
        <v>66960</v>
      </c>
      <c r="G123" s="12" t="n">
        <v>45</v>
      </c>
      <c r="H123" s="12" t="n">
        <v>30</v>
      </c>
      <c r="I123" s="12">
        <f>IF($H123&gt;0,$H123,IFERROR($G123/Import_Mapping!$B$7,0))</f>
        <v/>
      </c>
    </row>
    <row r="124">
      <c r="A124" s="11" t="n">
        <v>45740</v>
      </c>
      <c r="B124" s="20" t="inlineStr">
        <is>
          <t>Odra Handel Sp.</t>
        </is>
      </c>
      <c r="C124" s="20" t="inlineStr">
        <is>
          <t>PL</t>
        </is>
      </c>
      <c r="D124" s="20" t="inlineStr">
        <is>
          <t>Trockensortiment</t>
        </is>
      </c>
      <c r="E124" s="14" t="n">
        <v>27216</v>
      </c>
      <c r="F124" s="13" t="n">
        <v>50349.6</v>
      </c>
      <c r="G124" s="12" t="n">
        <v>54.81</v>
      </c>
      <c r="H124" s="12" t="n">
        <v>37.8</v>
      </c>
      <c r="I124" s="12">
        <f>IF($H124&gt;0,$H124,IFERROR($G124/Import_Mapping!$B$7,0))</f>
        <v/>
      </c>
    </row>
    <row r="125">
      <c r="A125" s="11" t="n">
        <v>45748</v>
      </c>
      <c r="B125" s="20" t="inlineStr">
        <is>
          <t>Spree Markt AG</t>
        </is>
      </c>
      <c r="C125" s="20" t="inlineStr">
        <is>
          <t>DE-Ost</t>
        </is>
      </c>
      <c r="D125" s="20" t="inlineStr">
        <is>
          <t>Trockensortiment</t>
        </is>
      </c>
      <c r="E125" s="14" t="n">
        <v>70848</v>
      </c>
      <c r="F125" s="13" t="n">
        <v>131068.8</v>
      </c>
      <c r="G125" s="12" t="n">
        <v>142.68</v>
      </c>
      <c r="H125" s="12" t="n">
        <v>98.40000000000001</v>
      </c>
      <c r="I125" s="12">
        <f>IF($H125&gt;0,$H125,IFERROR($G125/Import_Mapping!$B$7,0))</f>
        <v/>
      </c>
    </row>
    <row r="126">
      <c r="A126" s="11" t="n">
        <v>45749</v>
      </c>
      <c r="B126" s="20" t="inlineStr">
        <is>
          <t>Alpenmarkt GmbH</t>
        </is>
      </c>
      <c r="C126" s="20" t="inlineStr">
        <is>
          <t>DE-Sued</t>
        </is>
      </c>
      <c r="D126" s="20" t="inlineStr">
        <is>
          <t>Getraenke</t>
        </is>
      </c>
      <c r="E126" s="14" t="n">
        <v>266400</v>
      </c>
      <c r="F126" s="13" t="n">
        <v>253080</v>
      </c>
      <c r="G126" s="12" t="n">
        <v>430.12</v>
      </c>
      <c r="H126" s="12" t="n">
        <v>277.5</v>
      </c>
      <c r="I126" s="12">
        <f>IF($H126&gt;0,$H126,IFERROR($G126/Import_Mapping!$B$7,0))</f>
        <v/>
      </c>
    </row>
    <row r="127">
      <c r="A127" s="11" t="n">
        <v>45749</v>
      </c>
      <c r="B127" s="20" t="inlineStr">
        <is>
          <t>Delta Foods BV</t>
        </is>
      </c>
      <c r="C127" s="20" t="inlineStr">
        <is>
          <t>NL</t>
        </is>
      </c>
      <c r="D127" s="20" t="inlineStr">
        <is>
          <t>Non-Food</t>
        </is>
      </c>
      <c r="E127" s="14" t="n">
        <v>6984</v>
      </c>
      <c r="F127" s="13" t="n">
        <v>87300</v>
      </c>
      <c r="G127" s="12" t="n">
        <v>46.56</v>
      </c>
      <c r="H127" s="12" t="n">
        <v>29.1</v>
      </c>
      <c r="I127" s="12">
        <f>IF($H127&gt;0,$H127,IFERROR($G127/Import_Mapping!$B$7,0))</f>
        <v/>
      </c>
    </row>
    <row r="128">
      <c r="A128" s="11" t="n">
        <v>45750</v>
      </c>
      <c r="B128" s="20" t="inlineStr">
        <is>
          <t>Ruhr Frische GmbH</t>
        </is>
      </c>
      <c r="C128" s="20" t="inlineStr">
        <is>
          <t>DE-West</t>
        </is>
      </c>
      <c r="D128" s="20" t="inlineStr">
        <is>
          <t>Getraenke</t>
        </is>
      </c>
      <c r="E128" s="14" t="n">
        <v>287136</v>
      </c>
      <c r="F128" s="13" t="n">
        <v>272779.2</v>
      </c>
      <c r="G128" s="12" t="n">
        <v>463.61</v>
      </c>
      <c r="H128" s="12" t="n">
        <v>299.1</v>
      </c>
      <c r="I128" s="12">
        <f>IF($H128&gt;0,$H128,IFERROR($G128/Import_Mapping!$B$7,0))</f>
        <v/>
      </c>
    </row>
    <row r="129">
      <c r="A129" s="11" t="n">
        <v>45750</v>
      </c>
      <c r="B129" s="20" t="inlineStr">
        <is>
          <t>Wisla Retail Sp.</t>
        </is>
      </c>
      <c r="C129" s="20" t="inlineStr">
        <is>
          <t>PL</t>
        </is>
      </c>
      <c r="D129" s="20" t="inlineStr">
        <is>
          <t>Trockensortiment</t>
        </is>
      </c>
      <c r="E129" s="14" t="n">
        <v>26568</v>
      </c>
      <c r="F129" s="13" t="n">
        <v>49150.8</v>
      </c>
      <c r="G129" s="12" t="n">
        <v>53.5</v>
      </c>
      <c r="H129" s="12" t="n">
        <v>36.9</v>
      </c>
      <c r="I129" s="12">
        <f>IF($H129&gt;0,$H129,IFERROR($G129/Import_Mapping!$B$7,0))</f>
        <v/>
      </c>
    </row>
    <row r="130">
      <c r="A130" s="11" t="n">
        <v>45752</v>
      </c>
      <c r="B130" s="20" t="inlineStr">
        <is>
          <t>Tirol Handel AG</t>
        </is>
      </c>
      <c r="C130" s="20" t="inlineStr">
        <is>
          <t>AT</t>
        </is>
      </c>
      <c r="D130" s="20" t="inlineStr">
        <is>
          <t>Getraenke</t>
        </is>
      </c>
      <c r="E130" s="14" t="n">
        <v>75264</v>
      </c>
      <c r="F130" s="13" t="n">
        <v>71500.8</v>
      </c>
      <c r="G130" s="12" t="n">
        <v>121.52</v>
      </c>
      <c r="H130" s="12" t="n">
        <v>78.40000000000001</v>
      </c>
      <c r="I130" s="12">
        <f>IF($H130&gt;0,$H130,IFERROR($G130/Import_Mapping!$B$7,0))</f>
        <v/>
      </c>
    </row>
    <row r="131">
      <c r="A131" s="11" t="n">
        <v>45755</v>
      </c>
      <c r="B131" s="20" t="inlineStr">
        <is>
          <t>Elbe Handel GmbH</t>
        </is>
      </c>
      <c r="C131" s="20" t="inlineStr">
        <is>
          <t>DE-Nord</t>
        </is>
      </c>
      <c r="D131" s="20" t="inlineStr">
        <is>
          <t>Non-Food</t>
        </is>
      </c>
      <c r="E131" s="14" t="n">
        <v>10584</v>
      </c>
      <c r="F131" s="13" t="n">
        <v>132300</v>
      </c>
      <c r="G131" s="12" t="n">
        <v>70.56</v>
      </c>
      <c r="H131" s="12" t="n">
        <v>44.1</v>
      </c>
      <c r="I131" s="12">
        <f>IF($H131&gt;0,$H131,IFERROR($G131/Import_Mapping!$B$7,0))</f>
        <v/>
      </c>
    </row>
    <row r="132">
      <c r="A132" s="11" t="n">
        <v>45756</v>
      </c>
      <c r="B132" s="20" t="inlineStr">
        <is>
          <t>Hessen Vertrieb GmbH</t>
        </is>
      </c>
      <c r="C132" s="20" t="inlineStr">
        <is>
          <t>DE-Mitte</t>
        </is>
      </c>
      <c r="D132" s="20" t="inlineStr">
        <is>
          <t>Non-Food</t>
        </is>
      </c>
      <c r="E132" s="14" t="n">
        <v>9432</v>
      </c>
      <c r="F132" s="13" t="n">
        <v>117900</v>
      </c>
      <c r="G132" s="12" t="n">
        <v>62.88</v>
      </c>
      <c r="H132" s="12" t="n">
        <v>39.3</v>
      </c>
      <c r="I132" s="12">
        <f>IF($H132&gt;0,$H132,IFERROR($G132/Import_Mapping!$B$7,0))</f>
        <v/>
      </c>
    </row>
    <row r="133">
      <c r="A133" s="11" t="n">
        <v>45757</v>
      </c>
      <c r="B133" s="20" t="inlineStr">
        <is>
          <t>Odra Handel Sp.</t>
        </is>
      </c>
      <c r="C133" s="20" t="inlineStr">
        <is>
          <t>PL</t>
        </is>
      </c>
      <c r="D133" s="20" t="inlineStr">
        <is>
          <t>Getraenke</t>
        </is>
      </c>
      <c r="E133" s="14" t="n">
        <v>50784</v>
      </c>
      <c r="F133" s="13" t="n">
        <v>48244.8</v>
      </c>
      <c r="G133" s="12" t="n">
        <v>82</v>
      </c>
      <c r="H133" s="12" t="n">
        <v>52.9</v>
      </c>
      <c r="I133" s="12">
        <f>IF($H133&gt;0,$H133,IFERROR($G133/Import_Mapping!$B$7,0))</f>
        <v/>
      </c>
    </row>
    <row r="134">
      <c r="A134" s="11" t="n">
        <v>45758</v>
      </c>
      <c r="B134" s="20" t="inlineStr">
        <is>
          <t>Austria Markt GmbH</t>
        </is>
      </c>
      <c r="C134" s="20" t="inlineStr">
        <is>
          <t>AT</t>
        </is>
      </c>
      <c r="D134" s="20" t="inlineStr">
        <is>
          <t>Trockensortiment</t>
        </is>
      </c>
      <c r="E134" s="14" t="n">
        <v>38592</v>
      </c>
      <c r="F134" s="13" t="n">
        <v>71395.2</v>
      </c>
      <c r="G134" s="12" t="n">
        <v>77.72</v>
      </c>
      <c r="H134" s="12" t="n">
        <v>53.6</v>
      </c>
      <c r="I134" s="12">
        <f>IF($H134&gt;0,$H134,IFERROR($G134/Import_Mapping!$B$7,0))</f>
        <v/>
      </c>
    </row>
    <row r="135">
      <c r="A135" s="11" t="n">
        <v>45759</v>
      </c>
      <c r="B135" s="20" t="inlineStr">
        <is>
          <t>Elbe Handel GmbH</t>
        </is>
      </c>
      <c r="C135" s="20" t="inlineStr">
        <is>
          <t>DE-Nord</t>
        </is>
      </c>
      <c r="D135" s="20" t="inlineStr">
        <is>
          <t>Aktionsware</t>
        </is>
      </c>
      <c r="E135" s="14" t="n">
        <v>7308</v>
      </c>
      <c r="F135" s="13" t="n">
        <v>45309.6</v>
      </c>
      <c r="G135" s="12" t="n">
        <v>30.45</v>
      </c>
      <c r="H135" s="12" t="n">
        <v>20.3</v>
      </c>
      <c r="I135" s="12">
        <f>IF($H135&gt;0,$H135,IFERROR($G135/Import_Mapping!$B$7,0))</f>
        <v/>
      </c>
    </row>
    <row r="136">
      <c r="A136" s="11" t="n">
        <v>45759</v>
      </c>
      <c r="B136" s="20" t="inlineStr">
        <is>
          <t>Randstad Retail BV</t>
        </is>
      </c>
      <c r="C136" s="20" t="inlineStr">
        <is>
          <t>NL</t>
        </is>
      </c>
      <c r="D136" s="20" t="inlineStr">
        <is>
          <t>Kuehlware</t>
        </is>
      </c>
      <c r="E136" s="14" t="n">
        <v>25632</v>
      </c>
      <c r="F136" s="13" t="n">
        <v>87148.8</v>
      </c>
      <c r="G136" s="12" t="n">
        <v>69.42</v>
      </c>
      <c r="H136" s="12" t="n">
        <v>53.4</v>
      </c>
      <c r="I136" s="12">
        <f>IF($H136&gt;0,$H136,IFERROR($G136/Import_Mapping!$B$7,0))</f>
        <v/>
      </c>
    </row>
    <row r="137">
      <c r="A137" s="11" t="n">
        <v>45759</v>
      </c>
      <c r="B137" s="20" t="inlineStr">
        <is>
          <t>Wisla Retail Sp.</t>
        </is>
      </c>
      <c r="C137" s="20" t="inlineStr">
        <is>
          <t>PL</t>
        </is>
      </c>
      <c r="D137" s="20" t="inlineStr">
        <is>
          <t>Kuehlware</t>
        </is>
      </c>
      <c r="E137" s="14" t="n">
        <v>7632</v>
      </c>
      <c r="F137" s="13" t="n">
        <v>25948.8</v>
      </c>
      <c r="G137" s="12" t="n">
        <v>20.67</v>
      </c>
      <c r="H137" s="12" t="n">
        <v>15.9</v>
      </c>
      <c r="I137" s="12">
        <f>IF($H137&gt;0,$H137,IFERROR($G137/Import_Mapping!$B$7,0))</f>
        <v/>
      </c>
    </row>
    <row r="138">
      <c r="A138" s="11" t="n">
        <v>45759</v>
      </c>
      <c r="B138" s="20" t="inlineStr">
        <is>
          <t>Wisla Retail Sp.</t>
        </is>
      </c>
      <c r="C138" s="20" t="inlineStr">
        <is>
          <t>PL</t>
        </is>
      </c>
      <c r="D138" s="20" t="inlineStr">
        <is>
          <t>Non-Food</t>
        </is>
      </c>
      <c r="E138" s="14" t="n">
        <v>12432</v>
      </c>
      <c r="F138" s="13" t="n">
        <v>155400</v>
      </c>
      <c r="G138" s="12" t="n">
        <v>82.88</v>
      </c>
      <c r="H138" s="12" t="n">
        <v>51.8</v>
      </c>
      <c r="I138" s="12">
        <f>IF($H138&gt;0,$H138,IFERROR($G138/Import_Mapping!$B$7,0))</f>
        <v/>
      </c>
    </row>
    <row r="139">
      <c r="A139" s="11" t="n">
        <v>45760</v>
      </c>
      <c r="B139" s="20" t="inlineStr">
        <is>
          <t>Hessen Vertrieb GmbH</t>
        </is>
      </c>
      <c r="C139" s="20" t="inlineStr">
        <is>
          <t>DE-Mitte</t>
        </is>
      </c>
      <c r="D139" s="20" t="inlineStr">
        <is>
          <t>Kuehlware</t>
        </is>
      </c>
      <c r="E139" s="14" t="n">
        <v>37776</v>
      </c>
      <c r="F139" s="13" t="n">
        <v>128438.4</v>
      </c>
      <c r="G139" s="12" t="n">
        <v>102.31</v>
      </c>
      <c r="H139" s="12" t="n">
        <v>78.7</v>
      </c>
      <c r="I139" s="12">
        <f>IF($H139&gt;0,$H139,IFERROR($G139/Import_Mapping!$B$7,0))</f>
        <v/>
      </c>
    </row>
    <row r="140">
      <c r="A140" s="11" t="n">
        <v>45760</v>
      </c>
      <c r="B140" s="20" t="inlineStr">
        <is>
          <t>Westfilial AG</t>
        </is>
      </c>
      <c r="C140" s="20" t="inlineStr">
        <is>
          <t>DE-West</t>
        </is>
      </c>
      <c r="D140" s="20" t="inlineStr">
        <is>
          <t>Non-Food</t>
        </is>
      </c>
      <c r="E140" s="14" t="n">
        <v>15384</v>
      </c>
      <c r="F140" s="13" t="n">
        <v>192300</v>
      </c>
      <c r="G140" s="12" t="n">
        <v>102.56</v>
      </c>
      <c r="H140" s="12" t="n">
        <v>64.09999999999999</v>
      </c>
      <c r="I140" s="12">
        <f>IF($H140&gt;0,$H140,IFERROR($G140/Import_Mapping!$B$7,0))</f>
        <v/>
      </c>
    </row>
    <row r="141">
      <c r="A141" s="11" t="n">
        <v>45760</v>
      </c>
      <c r="B141" s="20" t="inlineStr">
        <is>
          <t>Randstad Retail BV</t>
        </is>
      </c>
      <c r="C141" s="20" t="inlineStr">
        <is>
          <t>NL</t>
        </is>
      </c>
      <c r="D141" s="20" t="inlineStr">
        <is>
          <t>Trockensortiment</t>
        </is>
      </c>
      <c r="E141" s="14" t="n">
        <v>43560</v>
      </c>
      <c r="F141" s="13" t="n">
        <v>80586</v>
      </c>
      <c r="G141" s="12" t="n">
        <v>87.72</v>
      </c>
      <c r="H141" s="12" t="n">
        <v>60.5</v>
      </c>
      <c r="I141" s="12">
        <f>IF($H141&gt;0,$H141,IFERROR($G141/Import_Mapping!$B$7,0))</f>
        <v/>
      </c>
    </row>
    <row r="142">
      <c r="A142" s="11" t="n">
        <v>45761</v>
      </c>
      <c r="B142" s="20" t="inlineStr">
        <is>
          <t>Mainpunkt Handel</t>
        </is>
      </c>
      <c r="C142" s="20" t="inlineStr">
        <is>
          <t>DE-Mitte</t>
        </is>
      </c>
      <c r="D142" s="20" t="inlineStr">
        <is>
          <t>Trockensortiment</t>
        </is>
      </c>
      <c r="E142" s="14" t="n">
        <v>95256</v>
      </c>
      <c r="F142" s="13" t="n">
        <v>176223.6</v>
      </c>
      <c r="G142" s="12" t="n">
        <v>191.84</v>
      </c>
      <c r="H142" s="12" t="n">
        <v>132.3</v>
      </c>
      <c r="I142" s="12">
        <f>IF($H142&gt;0,$H142,IFERROR($G142/Import_Mapping!$B$7,0))</f>
        <v/>
      </c>
    </row>
    <row r="143">
      <c r="A143" s="11" t="n">
        <v>45761</v>
      </c>
      <c r="B143" s="20" t="inlineStr">
        <is>
          <t>Wisla Retail Sp.</t>
        </is>
      </c>
      <c r="C143" s="20" t="inlineStr">
        <is>
          <t>PL</t>
        </is>
      </c>
      <c r="D143" s="20" t="inlineStr">
        <is>
          <t>Aktionsware</t>
        </is>
      </c>
      <c r="E143" s="14" t="n">
        <v>13464</v>
      </c>
      <c r="F143" s="13" t="n">
        <v>83476.8</v>
      </c>
      <c r="G143" s="12" t="n">
        <v>56.1</v>
      </c>
      <c r="H143" s="12" t="n">
        <v>37.4</v>
      </c>
      <c r="I143" s="12">
        <f>IF($H143&gt;0,$H143,IFERROR($G143/Import_Mapping!$B$7,0))</f>
        <v/>
      </c>
    </row>
    <row r="144">
      <c r="A144" s="11" t="n">
        <v>45762</v>
      </c>
      <c r="B144" s="20" t="inlineStr">
        <is>
          <t>Austria Markt GmbH</t>
        </is>
      </c>
      <c r="C144" s="20" t="inlineStr">
        <is>
          <t>AT</t>
        </is>
      </c>
      <c r="D144" s="20" t="inlineStr">
        <is>
          <t>Aktionsware</t>
        </is>
      </c>
      <c r="E144" s="14" t="n">
        <v>2736</v>
      </c>
      <c r="F144" s="13" t="n">
        <v>16963.2</v>
      </c>
      <c r="G144" s="12" t="n">
        <v>11.4</v>
      </c>
      <c r="H144" s="12" t="n">
        <v>7.6</v>
      </c>
      <c r="I144" s="12">
        <f>IF($H144&gt;0,$H144,IFERROR($G144/Import_Mapping!$B$7,0))</f>
        <v/>
      </c>
    </row>
    <row r="145">
      <c r="A145" s="11" t="n">
        <v>45762</v>
      </c>
      <c r="B145" s="20" t="inlineStr">
        <is>
          <t>Spree Markt AG</t>
        </is>
      </c>
      <c r="C145" s="20" t="inlineStr">
        <is>
          <t>DE-Ost</t>
        </is>
      </c>
      <c r="D145" s="20" t="inlineStr">
        <is>
          <t>Kuehlware</t>
        </is>
      </c>
      <c r="E145" s="14" t="n">
        <v>29856</v>
      </c>
      <c r="F145" s="13" t="n">
        <v>101510.4</v>
      </c>
      <c r="G145" s="12" t="n">
        <v>80.86</v>
      </c>
      <c r="H145" s="12" t="n">
        <v>62.2</v>
      </c>
      <c r="I145" s="12">
        <f>IF($H145&gt;0,$H145,IFERROR($G145/Import_Mapping!$B$7,0))</f>
        <v/>
      </c>
    </row>
    <row r="146">
      <c r="A146" s="11" t="n">
        <v>45763</v>
      </c>
      <c r="B146" s="20" t="inlineStr">
        <is>
          <t>Tirol Handel AG</t>
        </is>
      </c>
      <c r="C146" s="20" t="inlineStr">
        <is>
          <t>AT</t>
        </is>
      </c>
      <c r="D146" s="20" t="inlineStr">
        <is>
          <t>Non-Food</t>
        </is>
      </c>
      <c r="E146" s="14" t="n">
        <v>5160</v>
      </c>
      <c r="F146" s="13" t="n">
        <v>64500</v>
      </c>
      <c r="G146" s="12" t="n">
        <v>34.4</v>
      </c>
      <c r="H146" s="12" t="n">
        <v>21.5</v>
      </c>
      <c r="I146" s="12">
        <f>IF($H146&gt;0,$H146,IFERROR($G146/Import_Mapping!$B$7,0))</f>
        <v/>
      </c>
    </row>
    <row r="147">
      <c r="A147" s="11" t="n">
        <v>45763</v>
      </c>
      <c r="B147" s="20" t="inlineStr">
        <is>
          <t>Elbe Handel GmbH</t>
        </is>
      </c>
      <c r="C147" s="20" t="inlineStr">
        <is>
          <t>DE-Nord</t>
        </is>
      </c>
      <c r="D147" s="20" t="inlineStr">
        <is>
          <t>Getraenke</t>
        </is>
      </c>
      <c r="E147" s="14" t="n">
        <v>181536</v>
      </c>
      <c r="F147" s="13" t="n">
        <v>172459.2</v>
      </c>
      <c r="G147" s="12" t="n">
        <v>293.11</v>
      </c>
      <c r="H147" s="12" t="n">
        <v>189.1</v>
      </c>
      <c r="I147" s="12">
        <f>IF($H147&gt;0,$H147,IFERROR($G147/Import_Mapping!$B$7,0))</f>
        <v/>
      </c>
    </row>
    <row r="148">
      <c r="A148" s="11" t="n">
        <v>45764</v>
      </c>
      <c r="B148" s="20" t="inlineStr">
        <is>
          <t>Delta Foods BV</t>
        </is>
      </c>
      <c r="C148" s="20" t="inlineStr">
        <is>
          <t>NL</t>
        </is>
      </c>
      <c r="D148" s="20" t="inlineStr">
        <is>
          <t>Getraenke</t>
        </is>
      </c>
      <c r="E148" s="14" t="n">
        <v>64128</v>
      </c>
      <c r="F148" s="13" t="n">
        <v>60921.6</v>
      </c>
      <c r="G148" s="12" t="n">
        <v>103.54</v>
      </c>
      <c r="H148" s="12" t="n">
        <v>66.8</v>
      </c>
      <c r="I148" s="12">
        <f>IF($H148&gt;0,$H148,IFERROR($G148/Import_Mapping!$B$7,0))</f>
        <v/>
      </c>
    </row>
    <row r="149">
      <c r="A149" s="11" t="n">
        <v>45765</v>
      </c>
      <c r="B149" s="20" t="inlineStr">
        <is>
          <t>Hessen Vertrieb GmbH</t>
        </is>
      </c>
      <c r="C149" s="20" t="inlineStr">
        <is>
          <t>DE-Mitte</t>
        </is>
      </c>
      <c r="D149" s="20" t="inlineStr">
        <is>
          <t>Getraenke</t>
        </is>
      </c>
      <c r="E149" s="14" t="n">
        <v>167328</v>
      </c>
      <c r="F149" s="13" t="n">
        <v>158961.6</v>
      </c>
      <c r="G149" s="12" t="n">
        <v>270.17</v>
      </c>
      <c r="H149" s="12" t="n">
        <v>174.3</v>
      </c>
      <c r="I149" s="12">
        <f>IF($H149&gt;0,$H149,IFERROR($G149/Import_Mapping!$B$7,0))</f>
        <v/>
      </c>
    </row>
    <row r="150">
      <c r="A150" s="11" t="n">
        <v>45765</v>
      </c>
      <c r="B150" s="20" t="inlineStr">
        <is>
          <t>Randstad Retail BV</t>
        </is>
      </c>
      <c r="C150" s="20" t="inlineStr">
        <is>
          <t>NL</t>
        </is>
      </c>
      <c r="D150" s="20" t="inlineStr">
        <is>
          <t>Aktionsware</t>
        </is>
      </c>
      <c r="E150" s="14" t="n">
        <v>3852</v>
      </c>
      <c r="F150" s="13" t="n">
        <v>23882.4</v>
      </c>
      <c r="G150" s="12" t="n">
        <v>16.05</v>
      </c>
      <c r="H150" s="12" t="n">
        <v>10.7</v>
      </c>
      <c r="I150" s="12">
        <f>IF($H150&gt;0,$H150,IFERROR($G150/Import_Mapping!$B$7,0))</f>
        <v/>
      </c>
    </row>
    <row r="151">
      <c r="A151" s="11" t="n">
        <v>45768</v>
      </c>
      <c r="B151" s="20" t="inlineStr">
        <is>
          <t>Alpenmarkt GmbH</t>
        </is>
      </c>
      <c r="C151" s="20" t="inlineStr">
        <is>
          <t>DE-Sued</t>
        </is>
      </c>
      <c r="D151" s="20" t="inlineStr">
        <is>
          <t>Aktionsware</t>
        </is>
      </c>
      <c r="E151" s="14" t="n">
        <v>9360</v>
      </c>
      <c r="F151" s="13" t="n">
        <v>58032</v>
      </c>
      <c r="G151" s="12" t="n">
        <v>39</v>
      </c>
      <c r="H151" s="12" t="n">
        <v>26</v>
      </c>
      <c r="I151" s="12">
        <f>IF($H151&gt;0,$H151,IFERROR($G151/Import_Mapping!$B$7,0))</f>
        <v/>
      </c>
    </row>
    <row r="152">
      <c r="A152" s="11" t="n">
        <v>45768</v>
      </c>
      <c r="B152" s="20" t="inlineStr">
        <is>
          <t>Donau Handel AG</t>
        </is>
      </c>
      <c r="C152" s="20" t="inlineStr">
        <is>
          <t>DE-Sued</t>
        </is>
      </c>
      <c r="D152" s="20" t="inlineStr">
        <is>
          <t>Kuehlware</t>
        </is>
      </c>
      <c r="E152" s="14" t="n">
        <v>46320</v>
      </c>
      <c r="F152" s="13" t="n">
        <v>157488</v>
      </c>
      <c r="G152" s="12" t="n">
        <v>125.45</v>
      </c>
      <c r="H152" s="12" t="n">
        <v>96.5</v>
      </c>
      <c r="I152" s="12">
        <f>IF($H152&gt;0,$H152,IFERROR($G152/Import_Mapping!$B$7,0))</f>
        <v/>
      </c>
    </row>
    <row r="153">
      <c r="A153" s="11" t="n">
        <v>45768</v>
      </c>
      <c r="B153" s="20" t="inlineStr">
        <is>
          <t>Westfilial AG</t>
        </is>
      </c>
      <c r="C153" s="20" t="inlineStr">
        <is>
          <t>DE-West</t>
        </is>
      </c>
      <c r="D153" s="20" t="inlineStr">
        <is>
          <t>Kuehlware</t>
        </is>
      </c>
      <c r="E153" s="14" t="n">
        <v>57648</v>
      </c>
      <c r="F153" s="13" t="n">
        <v>196003.2</v>
      </c>
      <c r="G153" s="12" t="n">
        <v>156.13</v>
      </c>
      <c r="H153" s="12" t="n">
        <v>120.1</v>
      </c>
      <c r="I153" s="12">
        <f>IF($H153&gt;0,$H153,IFERROR($G153/Import_Mapping!$B$7,0))</f>
        <v/>
      </c>
    </row>
    <row r="154">
      <c r="A154" s="11" t="n">
        <v>45770</v>
      </c>
      <c r="B154" s="20" t="inlineStr">
        <is>
          <t>Mainpunkt Handel</t>
        </is>
      </c>
      <c r="C154" s="20" t="inlineStr">
        <is>
          <t>DE-Mitte</t>
        </is>
      </c>
      <c r="D154" s="20" t="inlineStr">
        <is>
          <t>Aktionsware</t>
        </is>
      </c>
      <c r="E154" s="14" t="n">
        <v>7560</v>
      </c>
      <c r="F154" s="13" t="n">
        <v>46872</v>
      </c>
      <c r="G154" s="12" t="n">
        <v>31.5</v>
      </c>
      <c r="H154" s="12" t="n">
        <v>21</v>
      </c>
      <c r="I154" s="12">
        <f>IF($H154&gt;0,$H154,IFERROR($G154/Import_Mapping!$B$7,0))</f>
        <v/>
      </c>
    </row>
    <row r="155">
      <c r="A155" s="11" t="n">
        <v>45770</v>
      </c>
      <c r="B155" s="20" t="inlineStr">
        <is>
          <t>Kuestenlager KG</t>
        </is>
      </c>
      <c r="C155" s="20" t="inlineStr">
        <is>
          <t>DE-Nord</t>
        </is>
      </c>
      <c r="D155" s="20" t="inlineStr">
        <is>
          <t>Kuehlware</t>
        </is>
      </c>
      <c r="E155" s="14" t="n">
        <v>65568</v>
      </c>
      <c r="F155" s="13" t="n">
        <v>222931.2</v>
      </c>
      <c r="G155" s="12" t="n">
        <v>177.58</v>
      </c>
      <c r="H155" s="12" t="n">
        <v>136.6</v>
      </c>
      <c r="I155" s="12">
        <f>IF($H155&gt;0,$H155,IFERROR($G155/Import_Mapping!$B$7,0))</f>
        <v/>
      </c>
    </row>
    <row r="156">
      <c r="A156" s="11" t="n">
        <v>45770</v>
      </c>
      <c r="B156" s="20" t="inlineStr">
        <is>
          <t>Nordmarkt AG</t>
        </is>
      </c>
      <c r="C156" s="20" t="inlineStr">
        <is>
          <t>DE-Nord</t>
        </is>
      </c>
      <c r="D156" s="20" t="inlineStr">
        <is>
          <t>Trockensortiment</t>
        </is>
      </c>
      <c r="E156" s="14" t="n">
        <v>130824</v>
      </c>
      <c r="F156" s="13" t="n">
        <v>242024.4</v>
      </c>
      <c r="G156" s="12" t="n">
        <v>263.46</v>
      </c>
      <c r="H156" s="12" t="n">
        <v>181.7</v>
      </c>
      <c r="I156" s="12">
        <f>IF($H156&gt;0,$H156,IFERROR($G156/Import_Mapping!$B$7,0))</f>
        <v/>
      </c>
    </row>
    <row r="157">
      <c r="A157" s="11" t="n">
        <v>45770</v>
      </c>
      <c r="B157" s="20" t="inlineStr">
        <is>
          <t>Sachsen Handel GmbH</t>
        </is>
      </c>
      <c r="C157" s="20" t="inlineStr">
        <is>
          <t>DE-Ost</t>
        </is>
      </c>
      <c r="D157" s="20" t="inlineStr">
        <is>
          <t>Getraenke</t>
        </is>
      </c>
      <c r="E157" s="14" t="n">
        <v>157536</v>
      </c>
      <c r="F157" s="13" t="n">
        <v>149659.2</v>
      </c>
      <c r="G157" s="12" t="n">
        <v>254.35</v>
      </c>
      <c r="H157" s="12" t="n">
        <v>164.1</v>
      </c>
      <c r="I157" s="12">
        <f>IF($H157&gt;0,$H157,IFERROR($G157/Import_Mapping!$B$7,0))</f>
        <v/>
      </c>
    </row>
    <row r="158">
      <c r="A158" s="11" t="n">
        <v>45770</v>
      </c>
      <c r="B158" s="20" t="inlineStr">
        <is>
          <t>Spree Markt AG</t>
        </is>
      </c>
      <c r="C158" s="20" t="inlineStr">
        <is>
          <t>DE-Ost</t>
        </is>
      </c>
      <c r="D158" s="20" t="inlineStr">
        <is>
          <t>Non-Food</t>
        </is>
      </c>
      <c r="E158" s="14" t="n">
        <v>7344</v>
      </c>
      <c r="F158" s="13" t="n">
        <v>91800</v>
      </c>
      <c r="G158" s="12" t="n">
        <v>48.96</v>
      </c>
      <c r="H158" s="12" t="n">
        <v>30.6</v>
      </c>
      <c r="I158" s="12">
        <f>IF($H158&gt;0,$H158,IFERROR($G158/Import_Mapping!$B$7,0))</f>
        <v/>
      </c>
    </row>
    <row r="159">
      <c r="A159" s="11" t="n">
        <v>45770</v>
      </c>
      <c r="B159" s="20" t="inlineStr">
        <is>
          <t>Alpenmarkt GmbH</t>
        </is>
      </c>
      <c r="C159" s="20" t="inlineStr">
        <is>
          <t>DE-Sued</t>
        </is>
      </c>
      <c r="D159" s="20" t="inlineStr">
        <is>
          <t>Non-Food</t>
        </is>
      </c>
      <c r="E159" s="14" t="n">
        <v>14280</v>
      </c>
      <c r="F159" s="13" t="n">
        <v>178500</v>
      </c>
      <c r="G159" s="12" t="n">
        <v>95.2</v>
      </c>
      <c r="H159" s="12" t="n">
        <v>59.5</v>
      </c>
      <c r="I159" s="12">
        <f>IF($H159&gt;0,$H159,IFERROR($G159/Import_Mapping!$B$7,0))</f>
        <v/>
      </c>
    </row>
    <row r="160">
      <c r="A160" s="11" t="n">
        <v>45771</v>
      </c>
      <c r="B160" s="20" t="inlineStr">
        <is>
          <t>Sachsen Handel GmbH</t>
        </is>
      </c>
      <c r="C160" s="20" t="inlineStr">
        <is>
          <t>DE-Ost</t>
        </is>
      </c>
      <c r="D160" s="20" t="inlineStr">
        <is>
          <t>Aktionsware</t>
        </is>
      </c>
      <c r="E160" s="14" t="n">
        <v>5976</v>
      </c>
      <c r="F160" s="13" t="n">
        <v>37051.2</v>
      </c>
      <c r="G160" s="12" t="n">
        <v>24.9</v>
      </c>
      <c r="H160" s="12" t="n">
        <v>16.6</v>
      </c>
      <c r="I160" s="12">
        <f>IF($H160&gt;0,$H160,IFERROR($G160/Import_Mapping!$B$7,0))</f>
        <v/>
      </c>
    </row>
    <row r="161">
      <c r="A161" s="11" t="n">
        <v>45771</v>
      </c>
      <c r="B161" s="20" t="inlineStr">
        <is>
          <t>Donau Handel AG</t>
        </is>
      </c>
      <c r="C161" s="20" t="inlineStr">
        <is>
          <t>DE-Sued</t>
        </is>
      </c>
      <c r="D161" s="20" t="inlineStr">
        <is>
          <t>Trockensortiment</t>
        </is>
      </c>
      <c r="E161" s="14" t="n">
        <v>141192</v>
      </c>
      <c r="F161" s="13" t="n">
        <v>261205.2</v>
      </c>
      <c r="G161" s="12" t="n">
        <v>284.34</v>
      </c>
      <c r="H161" s="12" t="n">
        <v>196.1</v>
      </c>
      <c r="I161" s="12">
        <f>IF($H161&gt;0,$H161,IFERROR($G161/Import_Mapping!$B$7,0))</f>
        <v/>
      </c>
    </row>
    <row r="162">
      <c r="A162" s="11" t="n">
        <v>45772</v>
      </c>
      <c r="B162" s="20" t="inlineStr">
        <is>
          <t>Austria Markt GmbH</t>
        </is>
      </c>
      <c r="C162" s="20" t="inlineStr">
        <is>
          <t>AT</t>
        </is>
      </c>
      <c r="D162" s="20" t="inlineStr">
        <is>
          <t>Kuehlware</t>
        </is>
      </c>
      <c r="E162" s="14" t="n">
        <v>12768</v>
      </c>
      <c r="F162" s="13" t="n">
        <v>43411.2</v>
      </c>
      <c r="G162" s="12" t="n">
        <v>34.58</v>
      </c>
      <c r="H162" s="12" t="n">
        <v>26.6</v>
      </c>
      <c r="I162" s="12">
        <f>IF($H162&gt;0,$H162,IFERROR($G162/Import_Mapping!$B$7,0))</f>
        <v/>
      </c>
    </row>
    <row r="163">
      <c r="A163" s="11" t="n">
        <v>45772</v>
      </c>
      <c r="B163" s="20" t="inlineStr">
        <is>
          <t>Westfilial AG</t>
        </is>
      </c>
      <c r="C163" s="20" t="inlineStr">
        <is>
          <t>DE-West</t>
        </is>
      </c>
      <c r="D163" s="20" t="inlineStr">
        <is>
          <t>Aktionsware</t>
        </is>
      </c>
      <c r="E163" s="14" t="n">
        <v>11880</v>
      </c>
      <c r="F163" s="13" t="n">
        <v>73656</v>
      </c>
      <c r="G163" s="12" t="n">
        <v>49.5</v>
      </c>
      <c r="H163" s="12" t="n">
        <v>33</v>
      </c>
      <c r="I163" s="12">
        <f>IF($H163&gt;0,$H163,IFERROR($G163/Import_Mapping!$B$7,0))</f>
        <v/>
      </c>
    </row>
    <row r="164">
      <c r="A164" s="11" t="n">
        <v>45772</v>
      </c>
      <c r="B164" s="20" t="inlineStr">
        <is>
          <t>Westfilial AG</t>
        </is>
      </c>
      <c r="C164" s="20" t="inlineStr">
        <is>
          <t>DE-West</t>
        </is>
      </c>
      <c r="D164" s="20" t="inlineStr">
        <is>
          <t>Trockensortiment</t>
        </is>
      </c>
      <c r="E164" s="14" t="n">
        <v>166320</v>
      </c>
      <c r="F164" s="13" t="n">
        <v>307692</v>
      </c>
      <c r="G164" s="12" t="n">
        <v>334.95</v>
      </c>
      <c r="H164" s="12" t="n">
        <v>231</v>
      </c>
      <c r="I164" s="12">
        <f>IF($H164&gt;0,$H164,IFERROR($G164/Import_Mapping!$B$7,0))</f>
        <v/>
      </c>
    </row>
    <row r="165">
      <c r="A165" s="11" t="n">
        <v>45778</v>
      </c>
      <c r="B165" s="20" t="inlineStr">
        <is>
          <t>Westfilial AG</t>
        </is>
      </c>
      <c r="C165" s="20" t="inlineStr">
        <is>
          <t>DE-West</t>
        </is>
      </c>
      <c r="D165" s="20" t="inlineStr">
        <is>
          <t>Getraenke</t>
        </is>
      </c>
      <c r="E165" s="14" t="n">
        <v>266784</v>
      </c>
      <c r="F165" s="13" t="n">
        <v>253444.8</v>
      </c>
      <c r="G165" s="12" t="n">
        <v>430.75</v>
      </c>
      <c r="H165" s="12" t="n">
        <v>277.9</v>
      </c>
      <c r="I165" s="12">
        <f>IF($H165&gt;0,$H165,IFERROR($G165/Import_Mapping!$B$7,0))</f>
        <v/>
      </c>
    </row>
    <row r="166">
      <c r="A166" s="11" t="n">
        <v>45778</v>
      </c>
      <c r="B166" s="20" t="inlineStr">
        <is>
          <t>Randstad Retail BV</t>
        </is>
      </c>
      <c r="C166" s="20" t="inlineStr">
        <is>
          <t>NL</t>
        </is>
      </c>
      <c r="D166" s="20" t="inlineStr">
        <is>
          <t>Kuehlware</t>
        </is>
      </c>
      <c r="E166" s="14" t="n">
        <v>25632</v>
      </c>
      <c r="F166" s="13" t="n">
        <v>87148.8</v>
      </c>
      <c r="G166" s="12" t="n">
        <v>69.42</v>
      </c>
      <c r="H166" s="12" t="n">
        <v>53.4</v>
      </c>
      <c r="I166" s="12">
        <f>IF($H166&gt;0,$H166,IFERROR($G166/Import_Mapping!$B$7,0))</f>
        <v/>
      </c>
    </row>
    <row r="167">
      <c r="A167" s="11" t="n">
        <v>45779</v>
      </c>
      <c r="B167" s="20" t="inlineStr">
        <is>
          <t>Hessen Vertrieb GmbH</t>
        </is>
      </c>
      <c r="C167" s="20" t="inlineStr">
        <is>
          <t>DE-Mitte</t>
        </is>
      </c>
      <c r="D167" s="20" t="inlineStr">
        <is>
          <t>Getraenke</t>
        </is>
      </c>
      <c r="E167" s="14" t="n">
        <v>181344</v>
      </c>
      <c r="F167" s="13" t="n">
        <v>172276.8</v>
      </c>
      <c r="G167" s="12" t="n">
        <v>292.8</v>
      </c>
      <c r="H167" s="12" t="n">
        <v>188.9</v>
      </c>
      <c r="I167" s="12">
        <f>IF($H167&gt;0,$H167,IFERROR($G167/Import_Mapping!$B$7,0))</f>
        <v/>
      </c>
    </row>
    <row r="168">
      <c r="A168" s="11" t="n">
        <v>45780</v>
      </c>
      <c r="B168" s="20" t="inlineStr">
        <is>
          <t>Nordmarkt AG</t>
        </is>
      </c>
      <c r="C168" s="20" t="inlineStr">
        <is>
          <t>DE-Nord</t>
        </is>
      </c>
      <c r="D168" s="20" t="inlineStr">
        <is>
          <t>Kuehlware</t>
        </is>
      </c>
      <c r="E168" s="14" t="n">
        <v>52320</v>
      </c>
      <c r="F168" s="13" t="n">
        <v>177888</v>
      </c>
      <c r="G168" s="12" t="n">
        <v>141.7</v>
      </c>
      <c r="H168" s="12" t="n">
        <v>109</v>
      </c>
      <c r="I168" s="12">
        <f>IF($H168&gt;0,$H168,IFERROR($G168/Import_Mapping!$B$7,0))</f>
        <v/>
      </c>
    </row>
    <row r="169">
      <c r="A169" s="11" t="n">
        <v>45780</v>
      </c>
      <c r="B169" s="20" t="inlineStr">
        <is>
          <t>Rheinland Retail SE</t>
        </is>
      </c>
      <c r="C169" s="20" t="inlineStr">
        <is>
          <t>DE-West</t>
        </is>
      </c>
      <c r="D169" s="20" t="inlineStr">
        <is>
          <t>Trockensortiment</t>
        </is>
      </c>
      <c r="E169" s="14" t="n">
        <v>176184</v>
      </c>
      <c r="F169" s="13" t="n">
        <v>325940.4</v>
      </c>
      <c r="G169" s="12" t="n">
        <v>354.81</v>
      </c>
      <c r="H169" s="12" t="n">
        <v>244.7</v>
      </c>
      <c r="I169" s="12">
        <f>IF($H169&gt;0,$H169,IFERROR($G169/Import_Mapping!$B$7,0))</f>
        <v/>
      </c>
    </row>
    <row r="170">
      <c r="A170" s="11" t="n">
        <v>45780</v>
      </c>
      <c r="B170" s="20" t="inlineStr">
        <is>
          <t>Odra Handel Sp.</t>
        </is>
      </c>
      <c r="C170" s="20" t="inlineStr">
        <is>
          <t>PL</t>
        </is>
      </c>
      <c r="D170" s="20" t="inlineStr">
        <is>
          <t>Non-Food</t>
        </is>
      </c>
      <c r="E170" s="14" t="n">
        <v>11304</v>
      </c>
      <c r="F170" s="13" t="n">
        <v>141300</v>
      </c>
      <c r="G170" s="12" t="n">
        <v>75.36</v>
      </c>
      <c r="H170" s="12" t="n">
        <v>47.1</v>
      </c>
      <c r="I170" s="12">
        <f>IF($H170&gt;0,$H170,IFERROR($G170/Import_Mapping!$B$7,0))</f>
        <v/>
      </c>
    </row>
    <row r="171">
      <c r="A171" s="11" t="n">
        <v>45782</v>
      </c>
      <c r="B171" s="20" t="inlineStr">
        <is>
          <t>Randstad Retail BV</t>
        </is>
      </c>
      <c r="C171" s="20" t="inlineStr">
        <is>
          <t>NL</t>
        </is>
      </c>
      <c r="D171" s="20" t="inlineStr">
        <is>
          <t>Aktionsware</t>
        </is>
      </c>
      <c r="E171" s="14" t="n">
        <v>2772</v>
      </c>
      <c r="F171" s="13" t="n">
        <v>17186.4</v>
      </c>
      <c r="G171" s="12" t="n">
        <v>11.55</v>
      </c>
      <c r="H171" s="12" t="n">
        <v>7.7</v>
      </c>
      <c r="I171" s="12">
        <f>IF($H171&gt;0,$H171,IFERROR($G171/Import_Mapping!$B$7,0))</f>
        <v/>
      </c>
    </row>
    <row r="172">
      <c r="A172" s="11" t="n">
        <v>45782</v>
      </c>
      <c r="B172" s="20" t="inlineStr">
        <is>
          <t>Delta Foods BV</t>
        </is>
      </c>
      <c r="C172" s="20" t="inlineStr">
        <is>
          <t>NL</t>
        </is>
      </c>
      <c r="D172" s="20" t="inlineStr">
        <is>
          <t>Trockensortiment</t>
        </is>
      </c>
      <c r="E172" s="14" t="n">
        <v>49896</v>
      </c>
      <c r="F172" s="13" t="n">
        <v>92307.60000000001</v>
      </c>
      <c r="G172" s="12" t="n">
        <v>100.48</v>
      </c>
      <c r="H172" s="12" t="n">
        <v>69.3</v>
      </c>
      <c r="I172" s="12">
        <f>IF($H172&gt;0,$H172,IFERROR($G172/Import_Mapping!$B$7,0))</f>
        <v/>
      </c>
    </row>
    <row r="173">
      <c r="A173" s="11" t="n">
        <v>45785</v>
      </c>
      <c r="B173" s="20" t="inlineStr">
        <is>
          <t>Delta Foods BV</t>
        </is>
      </c>
      <c r="C173" s="20" t="inlineStr">
        <is>
          <t>NL</t>
        </is>
      </c>
      <c r="D173" s="20" t="inlineStr">
        <is>
          <t>Getraenke</t>
        </is>
      </c>
      <c r="E173" s="14" t="n">
        <v>59712</v>
      </c>
      <c r="F173" s="13" t="n">
        <v>56726.4</v>
      </c>
      <c r="G173" s="12" t="n">
        <v>96.41</v>
      </c>
      <c r="H173" s="12" t="n">
        <v>62.2</v>
      </c>
      <c r="I173" s="12">
        <f>IF($H173&gt;0,$H173,IFERROR($G173/Import_Mapping!$B$7,0))</f>
        <v/>
      </c>
    </row>
    <row r="174">
      <c r="A174" s="11" t="n">
        <v>45786</v>
      </c>
      <c r="B174" s="20" t="inlineStr">
        <is>
          <t>Rheinland Retail SE</t>
        </is>
      </c>
      <c r="C174" s="20" t="inlineStr">
        <is>
          <t>DE-West</t>
        </is>
      </c>
      <c r="D174" s="20" t="inlineStr">
        <is>
          <t>Kuehlware</t>
        </is>
      </c>
      <c r="E174" s="14" t="n">
        <v>55392</v>
      </c>
      <c r="F174" s="13" t="n">
        <v>188332.8</v>
      </c>
      <c r="G174" s="12" t="n">
        <v>150.02</v>
      </c>
      <c r="H174" s="12" t="n">
        <v>115.4</v>
      </c>
      <c r="I174" s="12">
        <f>IF($H174&gt;0,$H174,IFERROR($G174/Import_Mapping!$B$7,0))</f>
        <v/>
      </c>
    </row>
    <row r="175">
      <c r="A175" s="11" t="n">
        <v>45786</v>
      </c>
      <c r="B175" s="20" t="inlineStr">
        <is>
          <t>Odra Handel Sp.</t>
        </is>
      </c>
      <c r="C175" s="20" t="inlineStr">
        <is>
          <t>PL</t>
        </is>
      </c>
      <c r="D175" s="20" t="inlineStr">
        <is>
          <t>Aktionsware</t>
        </is>
      </c>
      <c r="E175" s="14" t="n">
        <v>9972</v>
      </c>
      <c r="F175" s="13" t="n">
        <v>61826.4</v>
      </c>
      <c r="G175" s="12" t="n">
        <v>41.55</v>
      </c>
      <c r="H175" s="12" t="n">
        <v>27.7</v>
      </c>
      <c r="I175" s="12">
        <f>IF($H175&gt;0,$H175,IFERROR($G175/Import_Mapping!$B$7,0))</f>
        <v/>
      </c>
    </row>
    <row r="176">
      <c r="A176" s="11" t="n">
        <v>45786</v>
      </c>
      <c r="B176" s="20" t="inlineStr">
        <is>
          <t>Odra Handel Sp.</t>
        </is>
      </c>
      <c r="C176" s="20" t="inlineStr">
        <is>
          <t>PL</t>
        </is>
      </c>
      <c r="D176" s="20" t="inlineStr">
        <is>
          <t>Kuehlware</t>
        </is>
      </c>
      <c r="E176" s="14" t="n">
        <v>8352</v>
      </c>
      <c r="F176" s="13" t="n">
        <v>28396.8</v>
      </c>
      <c r="G176" s="12" t="n">
        <v>22.62</v>
      </c>
      <c r="H176" s="12" t="n">
        <v>17.4</v>
      </c>
      <c r="I176" s="12">
        <f>IF($H176&gt;0,$H176,IFERROR($G176/Import_Mapping!$B$7,0))</f>
        <v/>
      </c>
    </row>
    <row r="177">
      <c r="A177" s="11" t="n">
        <v>45787</v>
      </c>
      <c r="B177" s="20" t="inlineStr">
        <is>
          <t>Tirol Handel AG</t>
        </is>
      </c>
      <c r="C177" s="20" t="inlineStr">
        <is>
          <t>AT</t>
        </is>
      </c>
      <c r="D177" s="20" t="inlineStr">
        <is>
          <t>Non-Food</t>
        </is>
      </c>
      <c r="E177" s="14" t="n">
        <v>4320</v>
      </c>
      <c r="F177" s="13" t="n">
        <v>54000</v>
      </c>
      <c r="G177" s="12" t="n">
        <v>28.8</v>
      </c>
      <c r="H177" s="12" t="n">
        <v>18</v>
      </c>
      <c r="I177" s="12">
        <f>IF($H177&gt;0,$H177,IFERROR($G177/Import_Mapping!$B$7,0))</f>
        <v/>
      </c>
    </row>
    <row r="178">
      <c r="A178" s="11" t="n">
        <v>45787</v>
      </c>
      <c r="B178" s="20" t="inlineStr">
        <is>
          <t>Spree Markt AG</t>
        </is>
      </c>
      <c r="C178" s="20" t="inlineStr">
        <is>
          <t>DE-Ost</t>
        </is>
      </c>
      <c r="D178" s="20" t="inlineStr">
        <is>
          <t>Aktionsware</t>
        </is>
      </c>
      <c r="E178" s="14" t="n">
        <v>5076</v>
      </c>
      <c r="F178" s="13" t="n">
        <v>31471.2</v>
      </c>
      <c r="G178" s="12" t="n">
        <v>21.15</v>
      </c>
      <c r="H178" s="12" t="n">
        <v>14.1</v>
      </c>
      <c r="I178" s="12">
        <f>IF($H178&gt;0,$H178,IFERROR($G178/Import_Mapping!$B$7,0))</f>
        <v/>
      </c>
    </row>
    <row r="179">
      <c r="A179" s="11" t="n">
        <v>45788</v>
      </c>
      <c r="B179" s="20" t="inlineStr">
        <is>
          <t>Sachsen Handel GmbH</t>
        </is>
      </c>
      <c r="C179" s="20" t="inlineStr">
        <is>
          <t>DE-Ost</t>
        </is>
      </c>
      <c r="D179" s="20" t="inlineStr">
        <is>
          <t>Getraenke</t>
        </is>
      </c>
      <c r="E179" s="14" t="n">
        <v>174432</v>
      </c>
      <c r="F179" s="13" t="n">
        <v>165710.4</v>
      </c>
      <c r="G179" s="12" t="n">
        <v>281.63</v>
      </c>
      <c r="H179" s="12" t="n">
        <v>181.7</v>
      </c>
      <c r="I179" s="12">
        <f>IF($H179&gt;0,$H179,IFERROR($G179/Import_Mapping!$B$7,0))</f>
        <v/>
      </c>
    </row>
    <row r="180">
      <c r="A180" s="11" t="n">
        <v>45788</v>
      </c>
      <c r="B180" s="20" t="inlineStr">
        <is>
          <t>Sued Filialen KG</t>
        </is>
      </c>
      <c r="C180" s="20" t="inlineStr">
        <is>
          <t>DE-Sued</t>
        </is>
      </c>
      <c r="D180" s="20" t="inlineStr">
        <is>
          <t>Non-Food</t>
        </is>
      </c>
      <c r="E180" s="14" t="n">
        <v>11784</v>
      </c>
      <c r="F180" s="13" t="n">
        <v>147300</v>
      </c>
      <c r="G180" s="12" t="n">
        <v>78.56</v>
      </c>
      <c r="H180" s="12" t="n">
        <v>49.1</v>
      </c>
      <c r="I180" s="12">
        <f>IF($H180&gt;0,$H180,IFERROR($G180/Import_Mapping!$B$7,0))</f>
        <v/>
      </c>
    </row>
    <row r="181">
      <c r="A181" s="11" t="n">
        <v>45790</v>
      </c>
      <c r="B181" s="20" t="inlineStr">
        <is>
          <t>Tirol Handel AG</t>
        </is>
      </c>
      <c r="C181" s="20" t="inlineStr">
        <is>
          <t>AT</t>
        </is>
      </c>
      <c r="D181" s="20" t="inlineStr">
        <is>
          <t>Aktionsware</t>
        </is>
      </c>
      <c r="E181" s="14" t="n">
        <v>2412</v>
      </c>
      <c r="F181" s="13" t="n">
        <v>14954.4</v>
      </c>
      <c r="G181" s="12" t="n">
        <v>10.05</v>
      </c>
      <c r="H181" s="12" t="n">
        <v>6.7</v>
      </c>
      <c r="I181" s="12">
        <f>IF($H181&gt;0,$H181,IFERROR($G181/Import_Mapping!$B$7,0))</f>
        <v/>
      </c>
    </row>
    <row r="182">
      <c r="A182" s="11" t="n">
        <v>45791</v>
      </c>
      <c r="B182" s="20" t="inlineStr">
        <is>
          <t>Donau Handel AG</t>
        </is>
      </c>
      <c r="C182" s="20" t="inlineStr">
        <is>
          <t>DE-Sued</t>
        </is>
      </c>
      <c r="D182" s="20" t="inlineStr">
        <is>
          <t>Getraenke</t>
        </is>
      </c>
      <c r="E182" s="14" t="n">
        <v>287328</v>
      </c>
      <c r="F182" s="13" t="n">
        <v>272961.6</v>
      </c>
      <c r="G182" s="12" t="n">
        <v>463.92</v>
      </c>
      <c r="H182" s="12" t="n">
        <v>299.3</v>
      </c>
      <c r="I182" s="12">
        <f>IF($H182&gt;0,$H182,IFERROR($G182/Import_Mapping!$B$7,0))</f>
        <v/>
      </c>
    </row>
    <row r="183">
      <c r="A183" s="11" t="n">
        <v>45791</v>
      </c>
      <c r="B183" s="20" t="inlineStr">
        <is>
          <t>Odra Handel Sp.</t>
        </is>
      </c>
      <c r="C183" s="20" t="inlineStr">
        <is>
          <t>PL</t>
        </is>
      </c>
      <c r="D183" s="20" t="inlineStr">
        <is>
          <t>Trockensortiment</t>
        </is>
      </c>
      <c r="E183" s="14" t="n">
        <v>29520</v>
      </c>
      <c r="F183" s="13" t="n">
        <v>54612</v>
      </c>
      <c r="G183" s="12" t="n">
        <v>59.45</v>
      </c>
      <c r="H183" s="12" t="n">
        <v>41</v>
      </c>
      <c r="I183" s="12">
        <f>IF($H183&gt;0,$H183,IFERROR($G183/Import_Mapping!$B$7,0))</f>
        <v/>
      </c>
    </row>
    <row r="184">
      <c r="A184" s="11" t="n">
        <v>45792</v>
      </c>
      <c r="B184" s="20" t="inlineStr">
        <is>
          <t>Tirol Handel AG</t>
        </is>
      </c>
      <c r="C184" s="20" t="inlineStr">
        <is>
          <t>AT</t>
        </is>
      </c>
      <c r="D184" s="20" t="inlineStr">
        <is>
          <t>Getraenke</t>
        </is>
      </c>
      <c r="E184" s="14" t="n">
        <v>83712</v>
      </c>
      <c r="F184" s="13" t="n">
        <v>79526.39999999999</v>
      </c>
      <c r="G184" s="12" t="n">
        <v>135.16</v>
      </c>
      <c r="H184" s="12" t="n">
        <v>87.2</v>
      </c>
      <c r="I184" s="12">
        <f>IF($H184&gt;0,$H184,IFERROR($G184/Import_Mapping!$B$7,0))</f>
        <v/>
      </c>
    </row>
    <row r="185">
      <c r="A185" s="11" t="n">
        <v>45792</v>
      </c>
      <c r="B185" s="20" t="inlineStr">
        <is>
          <t>Hessen Vertrieb GmbH</t>
        </is>
      </c>
      <c r="C185" s="20" t="inlineStr">
        <is>
          <t>DE-Mitte</t>
        </is>
      </c>
      <c r="D185" s="20" t="inlineStr">
        <is>
          <t>Non-Food</t>
        </is>
      </c>
      <c r="E185" s="14" t="n">
        <v>10320</v>
      </c>
      <c r="F185" s="13" t="n">
        <v>129000</v>
      </c>
      <c r="G185" s="12" t="n">
        <v>68.8</v>
      </c>
      <c r="H185" s="12" t="n">
        <v>43</v>
      </c>
      <c r="I185" s="12">
        <f>IF($H185&gt;0,$H185,IFERROR($G185/Import_Mapping!$B$7,0))</f>
        <v/>
      </c>
    </row>
    <row r="186">
      <c r="A186" s="11" t="n">
        <v>45793</v>
      </c>
      <c r="B186" s="20" t="inlineStr">
        <is>
          <t>Alpenmarkt GmbH</t>
        </is>
      </c>
      <c r="C186" s="20" t="inlineStr">
        <is>
          <t>DE-Sued</t>
        </is>
      </c>
      <c r="D186" s="20" t="inlineStr">
        <is>
          <t>Aktionsware</t>
        </is>
      </c>
      <c r="E186" s="14" t="n">
        <v>6552</v>
      </c>
      <c r="F186" s="13" t="n">
        <v>40622.4</v>
      </c>
      <c r="G186" s="12" t="n">
        <v>27.3</v>
      </c>
      <c r="H186" s="12" t="n">
        <v>18.2</v>
      </c>
      <c r="I186" s="12">
        <f>IF($H186&gt;0,$H186,IFERROR($G186/Import_Mapping!$B$7,0))</f>
        <v/>
      </c>
    </row>
    <row r="187">
      <c r="A187" s="11" t="n">
        <v>45793</v>
      </c>
      <c r="B187" s="20" t="inlineStr">
        <is>
          <t>Rheinland Retail SE</t>
        </is>
      </c>
      <c r="C187" s="20" t="inlineStr">
        <is>
          <t>DE-West</t>
        </is>
      </c>
      <c r="D187" s="20" t="inlineStr">
        <is>
          <t>Aktionsware</t>
        </is>
      </c>
      <c r="E187" s="14" t="n">
        <v>8928</v>
      </c>
      <c r="F187" s="13" t="n">
        <v>55353.6</v>
      </c>
      <c r="G187" s="12" t="n">
        <v>37.2</v>
      </c>
      <c r="H187" s="12" t="n">
        <v>24.8</v>
      </c>
      <c r="I187" s="12">
        <f>IF($H187&gt;0,$H187,IFERROR($G187/Import_Mapping!$B$7,0))</f>
        <v/>
      </c>
    </row>
    <row r="188">
      <c r="A188" s="11" t="n">
        <v>45793</v>
      </c>
      <c r="B188" s="20" t="inlineStr">
        <is>
          <t>Delta Foods BV</t>
        </is>
      </c>
      <c r="C188" s="20" t="inlineStr">
        <is>
          <t>NL</t>
        </is>
      </c>
      <c r="D188" s="20" t="inlineStr">
        <is>
          <t>Non-Food</t>
        </is>
      </c>
      <c r="E188" s="14" t="n">
        <v>5760</v>
      </c>
      <c r="F188" s="13" t="n">
        <v>72000</v>
      </c>
      <c r="G188" s="12" t="n">
        <v>38.4</v>
      </c>
      <c r="H188" s="12" t="n">
        <v>24</v>
      </c>
      <c r="I188" s="12">
        <f>IF($H188&gt;0,$H188,IFERROR($G188/Import_Mapping!$B$7,0))</f>
        <v/>
      </c>
    </row>
    <row r="189">
      <c r="A189" s="11" t="n">
        <v>45795</v>
      </c>
      <c r="B189" s="20" t="inlineStr">
        <is>
          <t>Elbe Handel GmbH</t>
        </is>
      </c>
      <c r="C189" s="20" t="inlineStr">
        <is>
          <t>DE-Nord</t>
        </is>
      </c>
      <c r="D189" s="20" t="inlineStr">
        <is>
          <t>Non-Food</t>
        </is>
      </c>
      <c r="E189" s="14" t="n">
        <v>10368</v>
      </c>
      <c r="F189" s="13" t="n">
        <v>129600</v>
      </c>
      <c r="G189" s="12" t="n">
        <v>69.12</v>
      </c>
      <c r="H189" s="12" t="n">
        <v>43.2</v>
      </c>
      <c r="I189" s="12">
        <f>IF($H189&gt;0,$H189,IFERROR($G189/Import_Mapping!$B$7,0))</f>
        <v/>
      </c>
    </row>
    <row r="190">
      <c r="A190" s="11" t="n">
        <v>45795</v>
      </c>
      <c r="B190" s="20" t="inlineStr">
        <is>
          <t>Sachsen Handel GmbH</t>
        </is>
      </c>
      <c r="C190" s="20" t="inlineStr">
        <is>
          <t>DE-Ost</t>
        </is>
      </c>
      <c r="D190" s="20" t="inlineStr">
        <is>
          <t>Kuehlware</t>
        </is>
      </c>
      <c r="E190" s="14" t="n">
        <v>30864</v>
      </c>
      <c r="F190" s="13" t="n">
        <v>104937.6</v>
      </c>
      <c r="G190" s="12" t="n">
        <v>83.59</v>
      </c>
      <c r="H190" s="12" t="n">
        <v>64.3</v>
      </c>
      <c r="I190" s="12">
        <f>IF($H190&gt;0,$H190,IFERROR($G190/Import_Mapping!$B$7,0))</f>
        <v/>
      </c>
    </row>
    <row r="191">
      <c r="A191" s="11" t="n">
        <v>45796</v>
      </c>
      <c r="B191" s="20" t="inlineStr">
        <is>
          <t>Kuestenlager KG</t>
        </is>
      </c>
      <c r="C191" s="20" t="inlineStr">
        <is>
          <t>DE-Nord</t>
        </is>
      </c>
      <c r="D191" s="20" t="inlineStr">
        <is>
          <t>Trockensortiment</t>
        </is>
      </c>
      <c r="E191" s="14" t="n">
        <v>125856</v>
      </c>
      <c r="F191" s="13" t="n">
        <v>232833.6</v>
      </c>
      <c r="G191" s="12" t="n">
        <v>253.46</v>
      </c>
      <c r="H191" s="12" t="n">
        <v>174.8</v>
      </c>
      <c r="I191" s="12">
        <f>IF($H191&gt;0,$H191,IFERROR($G191/Import_Mapping!$B$7,0))</f>
        <v/>
      </c>
    </row>
    <row r="192">
      <c r="A192" s="11" t="n">
        <v>45796</v>
      </c>
      <c r="B192" s="20" t="inlineStr">
        <is>
          <t>Westfilial AG</t>
        </is>
      </c>
      <c r="C192" s="20" t="inlineStr">
        <is>
          <t>DE-West</t>
        </is>
      </c>
      <c r="D192" s="20" t="inlineStr">
        <is>
          <t>Non-Food</t>
        </is>
      </c>
      <c r="E192" s="14" t="n">
        <v>16248</v>
      </c>
      <c r="F192" s="13" t="n">
        <v>203100</v>
      </c>
      <c r="G192" s="12" t="n">
        <v>108.32</v>
      </c>
      <c r="H192" s="12" t="n">
        <v>67.7</v>
      </c>
      <c r="I192" s="12">
        <f>IF($H192&gt;0,$H192,IFERROR($G192/Import_Mapping!$B$7,0))</f>
        <v/>
      </c>
    </row>
    <row r="193">
      <c r="A193" s="11" t="n">
        <v>45797</v>
      </c>
      <c r="B193" s="20" t="inlineStr">
        <is>
          <t>Austria Markt GmbH</t>
        </is>
      </c>
      <c r="C193" s="20" t="inlineStr">
        <is>
          <t>AT</t>
        </is>
      </c>
      <c r="D193" s="20" t="inlineStr">
        <is>
          <t>Kuehlware</t>
        </is>
      </c>
      <c r="E193" s="14" t="n">
        <v>12240</v>
      </c>
      <c r="F193" s="13" t="n">
        <v>41616</v>
      </c>
      <c r="G193" s="12" t="n">
        <v>33.15</v>
      </c>
      <c r="H193" s="12" t="n">
        <v>25.5</v>
      </c>
      <c r="I193" s="12">
        <f>IF($H193&gt;0,$H193,IFERROR($G193/Import_Mapping!$B$7,0))</f>
        <v/>
      </c>
    </row>
    <row r="194">
      <c r="A194" s="11" t="n">
        <v>45797</v>
      </c>
      <c r="B194" s="20" t="inlineStr">
        <is>
          <t>Austria Markt GmbH</t>
        </is>
      </c>
      <c r="C194" s="20" t="inlineStr">
        <is>
          <t>AT</t>
        </is>
      </c>
      <c r="D194" s="20" t="inlineStr">
        <is>
          <t>Trockensortiment</t>
        </is>
      </c>
      <c r="E194" s="14" t="n">
        <v>32400</v>
      </c>
      <c r="F194" s="13" t="n">
        <v>59940</v>
      </c>
      <c r="G194" s="12" t="n">
        <v>65.25</v>
      </c>
      <c r="H194" s="12" t="n">
        <v>45</v>
      </c>
      <c r="I194" s="12">
        <f>IF($H194&gt;0,$H194,IFERROR($G194/Import_Mapping!$B$7,0))</f>
        <v/>
      </c>
    </row>
    <row r="195">
      <c r="A195" s="11" t="n">
        <v>45797</v>
      </c>
      <c r="B195" s="20" t="inlineStr">
        <is>
          <t>Hessen Vertrieb GmbH</t>
        </is>
      </c>
      <c r="C195" s="20" t="inlineStr">
        <is>
          <t>DE-Mitte</t>
        </is>
      </c>
      <c r="D195" s="20" t="inlineStr">
        <is>
          <t>Aktionsware</t>
        </is>
      </c>
      <c r="E195" s="14" t="n">
        <v>5256</v>
      </c>
      <c r="F195" s="13" t="n">
        <v>32587.2</v>
      </c>
      <c r="G195" s="12" t="n">
        <v>21.9</v>
      </c>
      <c r="H195" s="12" t="n">
        <v>14.6</v>
      </c>
      <c r="I195" s="12">
        <f>IF($H195&gt;0,$H195,IFERROR($G195/Import_Mapping!$B$7,0))</f>
        <v/>
      </c>
    </row>
    <row r="196">
      <c r="A196" s="11" t="n">
        <v>45797</v>
      </c>
      <c r="B196" s="20" t="inlineStr">
        <is>
          <t>Elbe Handel GmbH</t>
        </is>
      </c>
      <c r="C196" s="20" t="inlineStr">
        <is>
          <t>DE-Nord</t>
        </is>
      </c>
      <c r="D196" s="20" t="inlineStr">
        <is>
          <t>Aktionsware</t>
        </is>
      </c>
      <c r="E196" s="14" t="n">
        <v>5904</v>
      </c>
      <c r="F196" s="13" t="n">
        <v>36604.8</v>
      </c>
      <c r="G196" s="12" t="n">
        <v>24.6</v>
      </c>
      <c r="H196" s="12" t="n">
        <v>16.4</v>
      </c>
      <c r="I196" s="12">
        <f>IF($H196&gt;0,$H196,IFERROR($G196/Import_Mapping!$B$7,0))</f>
        <v/>
      </c>
    </row>
    <row r="197">
      <c r="A197" s="11" t="n">
        <v>45797</v>
      </c>
      <c r="B197" s="20" t="inlineStr">
        <is>
          <t>Alpenmarkt GmbH</t>
        </is>
      </c>
      <c r="C197" s="20" t="inlineStr">
        <is>
          <t>DE-Sued</t>
        </is>
      </c>
      <c r="D197" s="20" t="inlineStr">
        <is>
          <t>Trockensortiment</t>
        </is>
      </c>
      <c r="E197" s="14" t="n">
        <v>124560</v>
      </c>
      <c r="F197" s="13" t="n">
        <v>230436</v>
      </c>
      <c r="G197" s="12" t="n">
        <v>250.85</v>
      </c>
      <c r="H197" s="12" t="n">
        <v>173</v>
      </c>
      <c r="I197" s="12">
        <f>IF($H197&gt;0,$H197,IFERROR($G197/Import_Mapping!$B$7,0))</f>
        <v/>
      </c>
    </row>
    <row r="198">
      <c r="A198" s="11" t="n">
        <v>45798</v>
      </c>
      <c r="B198" s="20" t="inlineStr">
        <is>
          <t>Mainpunkt Handel</t>
        </is>
      </c>
      <c r="C198" s="20" t="inlineStr">
        <is>
          <t>DE-Mitte</t>
        </is>
      </c>
      <c r="D198" s="20" t="inlineStr">
        <is>
          <t>Trockensortiment</t>
        </is>
      </c>
      <c r="E198" s="14" t="n">
        <v>90000</v>
      </c>
      <c r="F198" s="13" t="n">
        <v>166500</v>
      </c>
      <c r="G198" s="12" t="n">
        <v>181.25</v>
      </c>
      <c r="H198" s="12" t="n">
        <v>125</v>
      </c>
      <c r="I198" s="12">
        <f>IF($H198&gt;0,$H198,IFERROR($G198/Import_Mapping!$B$7,0))</f>
        <v/>
      </c>
    </row>
    <row r="199">
      <c r="A199" s="11" t="n">
        <v>45798</v>
      </c>
      <c r="B199" s="20" t="inlineStr">
        <is>
          <t>Spree Markt AG</t>
        </is>
      </c>
      <c r="C199" s="20" t="inlineStr">
        <is>
          <t>DE-Ost</t>
        </is>
      </c>
      <c r="D199" s="20" t="inlineStr">
        <is>
          <t>Trockensortiment</t>
        </is>
      </c>
      <c r="E199" s="14" t="n">
        <v>62784</v>
      </c>
      <c r="F199" s="13" t="n">
        <v>116150.4</v>
      </c>
      <c r="G199" s="12" t="n">
        <v>126.44</v>
      </c>
      <c r="H199" s="12" t="n">
        <v>87.2</v>
      </c>
      <c r="I199" s="12">
        <f>IF($H199&gt;0,$H199,IFERROR($G199/Import_Mapping!$B$7,0))</f>
        <v/>
      </c>
    </row>
    <row r="200">
      <c r="A200" s="11" t="n">
        <v>45801</v>
      </c>
      <c r="B200" s="20" t="inlineStr">
        <is>
          <t>Nordmarkt AG</t>
        </is>
      </c>
      <c r="C200" s="20" t="inlineStr">
        <is>
          <t>DE-Nord</t>
        </is>
      </c>
      <c r="D200" s="20" t="inlineStr">
        <is>
          <t>Getraenke</t>
        </is>
      </c>
      <c r="E200" s="14" t="n">
        <v>200448</v>
      </c>
      <c r="F200" s="13" t="n">
        <v>190425.6</v>
      </c>
      <c r="G200" s="12" t="n">
        <v>323.64</v>
      </c>
      <c r="H200" s="12" t="n">
        <v>208.8</v>
      </c>
      <c r="I200" s="12">
        <f>IF($H200&gt;0,$H200,IFERROR($G200/Import_Mapping!$B$7,0))</f>
        <v/>
      </c>
    </row>
    <row r="201">
      <c r="A201" s="11" t="n">
        <v>45801</v>
      </c>
      <c r="B201" s="20" t="inlineStr">
        <is>
          <t>Sachsen Handel GmbH</t>
        </is>
      </c>
      <c r="C201" s="20" t="inlineStr">
        <is>
          <t>DE-Ost</t>
        </is>
      </c>
      <c r="D201" s="20" t="inlineStr">
        <is>
          <t>Non-Food</t>
        </is>
      </c>
      <c r="E201" s="14" t="n">
        <v>7176</v>
      </c>
      <c r="F201" s="13" t="n">
        <v>89700</v>
      </c>
      <c r="G201" s="12" t="n">
        <v>47.84</v>
      </c>
      <c r="H201" s="12" t="n">
        <v>29.9</v>
      </c>
      <c r="I201" s="12">
        <f>IF($H201&gt;0,$H201,IFERROR($G201/Import_Mapping!$B$7,0))</f>
        <v/>
      </c>
    </row>
    <row r="202">
      <c r="A202" s="11" t="n">
        <v>45801</v>
      </c>
      <c r="B202" s="20" t="inlineStr">
        <is>
          <t>Odra Handel Sp.</t>
        </is>
      </c>
      <c r="C202" s="20" t="inlineStr">
        <is>
          <t>PL</t>
        </is>
      </c>
      <c r="D202" s="20" t="inlineStr">
        <is>
          <t>Getraenke</t>
        </is>
      </c>
      <c r="E202" s="14" t="n">
        <v>52224</v>
      </c>
      <c r="F202" s="13" t="n">
        <v>49612.8</v>
      </c>
      <c r="G202" s="12" t="n">
        <v>84.31999999999999</v>
      </c>
      <c r="H202" s="12" t="n">
        <v>54.4</v>
      </c>
      <c r="I202" s="12">
        <f>IF($H202&gt;0,$H202,IFERROR($G202/Import_Mapping!$B$7,0))</f>
        <v/>
      </c>
    </row>
    <row r="203">
      <c r="A203" s="11" t="n">
        <v>45802</v>
      </c>
      <c r="B203" s="20" t="inlineStr">
        <is>
          <t>Mainpunkt Handel</t>
        </is>
      </c>
      <c r="C203" s="20" t="inlineStr">
        <is>
          <t>DE-Mitte</t>
        </is>
      </c>
      <c r="D203" s="20" t="inlineStr">
        <is>
          <t>Kuehlware</t>
        </is>
      </c>
      <c r="E203" s="14" t="n">
        <v>31824</v>
      </c>
      <c r="F203" s="13" t="n">
        <v>108201.6</v>
      </c>
      <c r="G203" s="12" t="n">
        <v>86.19</v>
      </c>
      <c r="H203" s="12" t="n">
        <v>66.3</v>
      </c>
      <c r="I203" s="12">
        <f>IF($H203&gt;0,$H203,IFERROR($G203/Import_Mapping!$B$7,0))</f>
        <v/>
      </c>
    </row>
    <row r="204">
      <c r="A204" s="11" t="n">
        <v>45802</v>
      </c>
      <c r="B204" s="20" t="inlineStr">
        <is>
          <t>Sued Filialen KG</t>
        </is>
      </c>
      <c r="C204" s="20" t="inlineStr">
        <is>
          <t>DE-Sued</t>
        </is>
      </c>
      <c r="D204" s="20" t="inlineStr">
        <is>
          <t>Kuehlware</t>
        </is>
      </c>
      <c r="E204" s="14" t="n">
        <v>49824</v>
      </c>
      <c r="F204" s="13" t="n">
        <v>169401.6</v>
      </c>
      <c r="G204" s="12" t="n">
        <v>134.94</v>
      </c>
      <c r="H204" s="12" t="n">
        <v>103.8</v>
      </c>
      <c r="I204" s="12">
        <f>IF($H204&gt;0,$H204,IFERROR($G204/Import_Mapping!$B$7,0))</f>
        <v/>
      </c>
    </row>
    <row r="205">
      <c r="A205" s="11" t="n">
        <v>45809</v>
      </c>
      <c r="B205" s="20" t="inlineStr">
        <is>
          <t>Randstad Retail BV</t>
        </is>
      </c>
      <c r="C205" s="20" t="inlineStr">
        <is>
          <t>NL</t>
        </is>
      </c>
      <c r="D205" s="20" t="inlineStr">
        <is>
          <t>Non-Food</t>
        </is>
      </c>
      <c r="E205" s="14" t="n">
        <v>6816</v>
      </c>
      <c r="F205" s="13" t="n">
        <v>85200</v>
      </c>
      <c r="G205" s="12" t="n">
        <v>45.44</v>
      </c>
      <c r="H205" s="12" t="n">
        <v>28.4</v>
      </c>
      <c r="I205" s="12">
        <f>IF($H205&gt;0,$H205,IFERROR($G205/Import_Mapping!$B$7,0))</f>
        <v/>
      </c>
    </row>
    <row r="206">
      <c r="A206" s="11" t="n">
        <v>45810</v>
      </c>
      <c r="B206" s="20" t="inlineStr">
        <is>
          <t>Randstad Retail BV</t>
        </is>
      </c>
      <c r="C206" s="20" t="inlineStr">
        <is>
          <t>NL</t>
        </is>
      </c>
      <c r="D206" s="20" t="inlineStr">
        <is>
          <t>Aktionsware</t>
        </is>
      </c>
      <c r="E206" s="14" t="n">
        <v>4068</v>
      </c>
      <c r="F206" s="13" t="n">
        <v>25221.6</v>
      </c>
      <c r="G206" s="12" t="n">
        <v>16.95</v>
      </c>
      <c r="H206" s="12" t="n">
        <v>11.3</v>
      </c>
      <c r="I206" s="12">
        <f>IF($H206&gt;0,$H206,IFERROR($G206/Import_Mapping!$B$7,0))</f>
        <v/>
      </c>
    </row>
    <row r="207">
      <c r="A207" s="11" t="n">
        <v>45811</v>
      </c>
      <c r="B207" s="20" t="inlineStr">
        <is>
          <t>Mainpunkt Handel</t>
        </is>
      </c>
      <c r="C207" s="20" t="inlineStr">
        <is>
          <t>DE-Mitte</t>
        </is>
      </c>
      <c r="D207" s="20" t="inlineStr">
        <is>
          <t>Getraenke</t>
        </is>
      </c>
      <c r="E207" s="14" t="n">
        <v>209568</v>
      </c>
      <c r="F207" s="13" t="n">
        <v>199089.6</v>
      </c>
      <c r="G207" s="12" t="n">
        <v>338.37</v>
      </c>
      <c r="H207" s="12" t="n">
        <v>218.3</v>
      </c>
      <c r="I207" s="12">
        <f>IF($H207&gt;0,$H207,IFERROR($G207/Import_Mapping!$B$7,0))</f>
        <v/>
      </c>
    </row>
    <row r="208">
      <c r="A208" s="11" t="n">
        <v>45811</v>
      </c>
      <c r="B208" s="20" t="inlineStr">
        <is>
          <t>Delta Foods BV</t>
        </is>
      </c>
      <c r="C208" s="20" t="inlineStr">
        <is>
          <t>NL</t>
        </is>
      </c>
      <c r="D208" s="20" t="inlineStr">
        <is>
          <t>Kuehlware</t>
        </is>
      </c>
      <c r="E208" s="14" t="n">
        <v>20448</v>
      </c>
      <c r="F208" s="13" t="n">
        <v>69523.2</v>
      </c>
      <c r="G208" s="12" t="n">
        <v>55.38</v>
      </c>
      <c r="H208" s="12" t="n">
        <v>42.6</v>
      </c>
      <c r="I208" s="12">
        <f>IF($H208&gt;0,$H208,IFERROR($G208/Import_Mapping!$B$7,0))</f>
        <v/>
      </c>
    </row>
    <row r="209">
      <c r="A209" s="11" t="n">
        <v>45812</v>
      </c>
      <c r="B209" s="20" t="inlineStr">
        <is>
          <t>Nordmarkt AG</t>
        </is>
      </c>
      <c r="C209" s="20" t="inlineStr">
        <is>
          <t>DE-Nord</t>
        </is>
      </c>
      <c r="D209" s="20" t="inlineStr">
        <is>
          <t>Trockensortiment</t>
        </is>
      </c>
      <c r="E209" s="14" t="n">
        <v>114696</v>
      </c>
      <c r="F209" s="13" t="n">
        <v>212187.6</v>
      </c>
      <c r="G209" s="12" t="n">
        <v>230.99</v>
      </c>
      <c r="H209" s="12" t="n">
        <v>159.3</v>
      </c>
      <c r="I209" s="12">
        <f>IF($H209&gt;0,$H209,IFERROR($G209/Import_Mapping!$B$7,0))</f>
        <v/>
      </c>
    </row>
    <row r="210">
      <c r="A210" s="11" t="n">
        <v>45813</v>
      </c>
      <c r="B210" s="20" t="inlineStr">
        <is>
          <t>Tirol Handel AG</t>
        </is>
      </c>
      <c r="C210" s="20" t="inlineStr">
        <is>
          <t>AT</t>
        </is>
      </c>
      <c r="D210" s="20" t="inlineStr">
        <is>
          <t>Getraenke</t>
        </is>
      </c>
      <c r="E210" s="14" t="n">
        <v>86208</v>
      </c>
      <c r="F210" s="13" t="n">
        <v>81897.60000000001</v>
      </c>
      <c r="G210" s="12" t="n">
        <v>139.19</v>
      </c>
      <c r="H210" s="12" t="n">
        <v>89.8</v>
      </c>
      <c r="I210" s="12">
        <f>IF($H210&gt;0,$H210,IFERROR($G210/Import_Mapping!$B$7,0))</f>
        <v/>
      </c>
    </row>
    <row r="211">
      <c r="A211" s="11" t="n">
        <v>45813</v>
      </c>
      <c r="B211" s="20" t="inlineStr">
        <is>
          <t>Spree Markt AG</t>
        </is>
      </c>
      <c r="C211" s="20" t="inlineStr">
        <is>
          <t>DE-Ost</t>
        </is>
      </c>
      <c r="D211" s="20" t="inlineStr">
        <is>
          <t>Kuehlware</t>
        </is>
      </c>
      <c r="E211" s="14" t="n">
        <v>29184</v>
      </c>
      <c r="F211" s="13" t="n">
        <v>99225.60000000001</v>
      </c>
      <c r="G211" s="12" t="n">
        <v>79.04000000000001</v>
      </c>
      <c r="H211" s="12" t="n">
        <v>60.8</v>
      </c>
      <c r="I211" s="12">
        <f>IF($H211&gt;0,$H211,IFERROR($G211/Import_Mapping!$B$7,0))</f>
        <v/>
      </c>
    </row>
    <row r="212">
      <c r="A212" s="11" t="n">
        <v>45814</v>
      </c>
      <c r="B212" s="20" t="inlineStr">
        <is>
          <t>Mainpunkt Handel</t>
        </is>
      </c>
      <c r="C212" s="20" t="inlineStr">
        <is>
          <t>DE-Mitte</t>
        </is>
      </c>
      <c r="D212" s="20" t="inlineStr">
        <is>
          <t>Aktionsware</t>
        </is>
      </c>
      <c r="E212" s="14" t="n">
        <v>6696</v>
      </c>
      <c r="F212" s="13" t="n">
        <v>41515.2</v>
      </c>
      <c r="G212" s="12" t="n">
        <v>27.9</v>
      </c>
      <c r="H212" s="12" t="n">
        <v>18.6</v>
      </c>
      <c r="I212" s="12">
        <f>IF($H212&gt;0,$H212,IFERROR($G212/Import_Mapping!$B$7,0))</f>
        <v/>
      </c>
    </row>
    <row r="213">
      <c r="A213" s="11" t="n">
        <v>45815</v>
      </c>
      <c r="B213" s="20" t="inlineStr">
        <is>
          <t>Tirol Handel AG</t>
        </is>
      </c>
      <c r="C213" s="20" t="inlineStr">
        <is>
          <t>AT</t>
        </is>
      </c>
      <c r="D213" s="20" t="inlineStr">
        <is>
          <t>Aktionsware</t>
        </is>
      </c>
      <c r="E213" s="14" t="n">
        <v>2988</v>
      </c>
      <c r="F213" s="13" t="n">
        <v>18525.6</v>
      </c>
      <c r="G213" s="12" t="n">
        <v>12.45</v>
      </c>
      <c r="H213" s="12" t="n">
        <v>8.300000000000001</v>
      </c>
      <c r="I213" s="12">
        <f>IF($H213&gt;0,$H213,IFERROR($G213/Import_Mapping!$B$7,0))</f>
        <v/>
      </c>
    </row>
    <row r="214">
      <c r="A214" s="11" t="n">
        <v>45815</v>
      </c>
      <c r="B214" s="20" t="inlineStr">
        <is>
          <t>Kuestenlager KG</t>
        </is>
      </c>
      <c r="C214" s="20" t="inlineStr">
        <is>
          <t>DE-Nord</t>
        </is>
      </c>
      <c r="D214" s="20" t="inlineStr">
        <is>
          <t>Kuehlware</t>
        </is>
      </c>
      <c r="E214" s="14" t="n">
        <v>49824</v>
      </c>
      <c r="F214" s="13" t="n">
        <v>169401.6</v>
      </c>
      <c r="G214" s="12" t="n">
        <v>134.94</v>
      </c>
      <c r="H214" s="12" t="n">
        <v>103.8</v>
      </c>
      <c r="I214" s="12">
        <f>IF($H214&gt;0,$H214,IFERROR($G214/Import_Mapping!$B$7,0))</f>
        <v/>
      </c>
    </row>
    <row r="215">
      <c r="A215" s="11" t="n">
        <v>45816</v>
      </c>
      <c r="B215" s="20" t="inlineStr">
        <is>
          <t>Mainpunkt Handel</t>
        </is>
      </c>
      <c r="C215" s="20" t="inlineStr">
        <is>
          <t>DE-Mitte</t>
        </is>
      </c>
      <c r="D215" s="20" t="inlineStr">
        <is>
          <t>Kuehlware</t>
        </is>
      </c>
      <c r="E215" s="14" t="n">
        <v>29856</v>
      </c>
      <c r="F215" s="13" t="n">
        <v>101510.4</v>
      </c>
      <c r="G215" s="12" t="n">
        <v>80.86</v>
      </c>
      <c r="H215" s="12" t="n">
        <v>62.2</v>
      </c>
      <c r="I215" s="12">
        <f>IF($H215&gt;0,$H215,IFERROR($G215/Import_Mapping!$B$7,0))</f>
        <v/>
      </c>
    </row>
    <row r="216">
      <c r="A216" s="11" t="n">
        <v>45816</v>
      </c>
      <c r="B216" s="20" t="inlineStr">
        <is>
          <t>Sachsen Handel GmbH</t>
        </is>
      </c>
      <c r="C216" s="20" t="inlineStr">
        <is>
          <t>DE-Ost</t>
        </is>
      </c>
      <c r="D216" s="20" t="inlineStr">
        <is>
          <t>Getraenke</t>
        </is>
      </c>
      <c r="E216" s="14" t="n">
        <v>165984</v>
      </c>
      <c r="F216" s="13" t="n">
        <v>157684.8</v>
      </c>
      <c r="G216" s="12" t="n">
        <v>268</v>
      </c>
      <c r="H216" s="12" t="n">
        <v>172.9</v>
      </c>
      <c r="I216" s="12">
        <f>IF($H216&gt;0,$H216,IFERROR($G216/Import_Mapping!$B$7,0))</f>
        <v/>
      </c>
    </row>
    <row r="217">
      <c r="A217" s="11" t="n">
        <v>45817</v>
      </c>
      <c r="B217" s="20" t="inlineStr">
        <is>
          <t>Kuestenlager KG</t>
        </is>
      </c>
      <c r="C217" s="20" t="inlineStr">
        <is>
          <t>DE-Nord</t>
        </is>
      </c>
      <c r="D217" s="20" t="inlineStr">
        <is>
          <t>Getraenke</t>
        </is>
      </c>
      <c r="E217" s="14" t="n">
        <v>219264</v>
      </c>
      <c r="F217" s="13" t="n">
        <v>208300.8</v>
      </c>
      <c r="G217" s="12" t="n">
        <v>354.02</v>
      </c>
      <c r="H217" s="12" t="n">
        <v>228.4</v>
      </c>
      <c r="I217" s="12">
        <f>IF($H217&gt;0,$H217,IFERROR($G217/Import_Mapping!$B$7,0))</f>
        <v/>
      </c>
    </row>
    <row r="218">
      <c r="A218" s="11" t="n">
        <v>45819</v>
      </c>
      <c r="B218" s="20" t="inlineStr">
        <is>
          <t>Hessen Vertrieb GmbH</t>
        </is>
      </c>
      <c r="C218" s="20" t="inlineStr">
        <is>
          <t>DE-Mitte</t>
        </is>
      </c>
      <c r="D218" s="20" t="inlineStr">
        <is>
          <t>Trockensortiment</t>
        </is>
      </c>
      <c r="E218" s="14" t="n">
        <v>91224</v>
      </c>
      <c r="F218" s="13" t="n">
        <v>168764.4</v>
      </c>
      <c r="G218" s="12" t="n">
        <v>183.72</v>
      </c>
      <c r="H218" s="12" t="n">
        <v>126.7</v>
      </c>
      <c r="I218" s="12">
        <f>IF($H218&gt;0,$H218,IFERROR($G218/Import_Mapping!$B$7,0))</f>
        <v/>
      </c>
    </row>
    <row r="219">
      <c r="A219" s="11" t="n">
        <v>45819</v>
      </c>
      <c r="B219" s="20" t="inlineStr">
        <is>
          <t>Alpenmarkt GmbH</t>
        </is>
      </c>
      <c r="C219" s="20" t="inlineStr">
        <is>
          <t>DE-Sued</t>
        </is>
      </c>
      <c r="D219" s="20" t="inlineStr">
        <is>
          <t>Kuehlware</t>
        </is>
      </c>
      <c r="E219" s="14" t="n">
        <v>39744</v>
      </c>
      <c r="F219" s="13" t="n">
        <v>135129.6</v>
      </c>
      <c r="G219" s="12" t="n">
        <v>107.64</v>
      </c>
      <c r="H219" s="12" t="n">
        <v>82.8</v>
      </c>
      <c r="I219" s="12">
        <f>IF($H219&gt;0,$H219,IFERROR($G219/Import_Mapping!$B$7,0))</f>
        <v/>
      </c>
    </row>
    <row r="220">
      <c r="A220" s="11" t="n">
        <v>45819</v>
      </c>
      <c r="B220" s="20" t="inlineStr">
        <is>
          <t>Odra Handel Sp.</t>
        </is>
      </c>
      <c r="C220" s="20" t="inlineStr">
        <is>
          <t>PL</t>
        </is>
      </c>
      <c r="D220" s="20" t="inlineStr">
        <is>
          <t>Trockensortiment</t>
        </is>
      </c>
      <c r="E220" s="14" t="n">
        <v>25776</v>
      </c>
      <c r="F220" s="13" t="n">
        <v>47685.6</v>
      </c>
      <c r="G220" s="12" t="n">
        <v>51.91</v>
      </c>
      <c r="H220" s="12" t="n">
        <v>35.8</v>
      </c>
      <c r="I220" s="12">
        <f>IF($H220&gt;0,$H220,IFERROR($G220/Import_Mapping!$B$7,0))</f>
        <v/>
      </c>
    </row>
    <row r="221">
      <c r="A221" s="11" t="n">
        <v>45820</v>
      </c>
      <c r="B221" s="20" t="inlineStr">
        <is>
          <t>Tirol Handel AG</t>
        </is>
      </c>
      <c r="C221" s="20" t="inlineStr">
        <is>
          <t>AT</t>
        </is>
      </c>
      <c r="D221" s="20" t="inlineStr">
        <is>
          <t>Kuehlware</t>
        </is>
      </c>
      <c r="E221" s="14" t="n">
        <v>12480</v>
      </c>
      <c r="F221" s="13" t="n">
        <v>42432</v>
      </c>
      <c r="G221" s="12" t="n">
        <v>33.8</v>
      </c>
      <c r="H221" s="12" t="n">
        <v>26</v>
      </c>
      <c r="I221" s="12">
        <f>IF($H221&gt;0,$H221,IFERROR($G221/Import_Mapping!$B$7,0))</f>
        <v/>
      </c>
    </row>
    <row r="222">
      <c r="A222" s="11" t="n">
        <v>45820</v>
      </c>
      <c r="B222" s="20" t="inlineStr">
        <is>
          <t>Tirol Handel AG</t>
        </is>
      </c>
      <c r="C222" s="20" t="inlineStr">
        <is>
          <t>AT</t>
        </is>
      </c>
      <c r="D222" s="20" t="inlineStr">
        <is>
          <t>Non-Food</t>
        </is>
      </c>
      <c r="E222" s="14" t="n">
        <v>4728</v>
      </c>
      <c r="F222" s="13" t="n">
        <v>59100</v>
      </c>
      <c r="G222" s="12" t="n">
        <v>31.52</v>
      </c>
      <c r="H222" s="12" t="n">
        <v>19.7</v>
      </c>
      <c r="I222" s="12">
        <f>IF($H222&gt;0,$H222,IFERROR($G222/Import_Mapping!$B$7,0))</f>
        <v/>
      </c>
    </row>
    <row r="223">
      <c r="A223" s="11" t="n">
        <v>45820</v>
      </c>
      <c r="B223" s="20" t="inlineStr">
        <is>
          <t>Delta Foods BV</t>
        </is>
      </c>
      <c r="C223" s="20" t="inlineStr">
        <is>
          <t>NL</t>
        </is>
      </c>
      <c r="D223" s="20" t="inlineStr">
        <is>
          <t>Getraenke</t>
        </is>
      </c>
      <c r="E223" s="14" t="n">
        <v>74880</v>
      </c>
      <c r="F223" s="13" t="n">
        <v>71136</v>
      </c>
      <c r="G223" s="12" t="n">
        <v>120.9</v>
      </c>
      <c r="H223" s="12" t="n">
        <v>78</v>
      </c>
      <c r="I223" s="12">
        <f>IF($H223&gt;0,$H223,IFERROR($G223/Import_Mapping!$B$7,0))</f>
        <v/>
      </c>
    </row>
    <row r="224">
      <c r="A224" s="11" t="n">
        <v>45821</v>
      </c>
      <c r="B224" s="20" t="inlineStr">
        <is>
          <t>Ruhr Frische GmbH</t>
        </is>
      </c>
      <c r="C224" s="20" t="inlineStr">
        <is>
          <t>DE-West</t>
        </is>
      </c>
      <c r="D224" s="20" t="inlineStr">
        <is>
          <t>Aktionsware</t>
        </is>
      </c>
      <c r="E224" s="14" t="n">
        <v>10332</v>
      </c>
      <c r="F224" s="13" t="n">
        <v>64058.4</v>
      </c>
      <c r="G224" s="12" t="n">
        <v>43.05</v>
      </c>
      <c r="H224" s="12" t="n">
        <v>28.7</v>
      </c>
      <c r="I224" s="12">
        <f>IF($H224&gt;0,$H224,IFERROR($G224/Import_Mapping!$B$7,0))</f>
        <v/>
      </c>
    </row>
    <row r="225">
      <c r="A225" s="11" t="n">
        <v>45822</v>
      </c>
      <c r="B225" s="20" t="inlineStr">
        <is>
          <t>Kuestenlager KG</t>
        </is>
      </c>
      <c r="C225" s="20" t="inlineStr">
        <is>
          <t>DE-Nord</t>
        </is>
      </c>
      <c r="D225" s="20" t="inlineStr">
        <is>
          <t>Non-Food</t>
        </is>
      </c>
      <c r="E225" s="14" t="n">
        <v>10008</v>
      </c>
      <c r="F225" s="13" t="n">
        <v>125100</v>
      </c>
      <c r="G225" s="12" t="n">
        <v>66.72</v>
      </c>
      <c r="H225" s="12" t="n">
        <v>41.7</v>
      </c>
      <c r="I225" s="12">
        <f>IF($H225&gt;0,$H225,IFERROR($G225/Import_Mapping!$B$7,0))</f>
        <v/>
      </c>
    </row>
    <row r="226">
      <c r="A226" s="11" t="n">
        <v>45822</v>
      </c>
      <c r="B226" s="20" t="inlineStr">
        <is>
          <t>Spree Markt AG</t>
        </is>
      </c>
      <c r="C226" s="20" t="inlineStr">
        <is>
          <t>DE-Ost</t>
        </is>
      </c>
      <c r="D226" s="20" t="inlineStr">
        <is>
          <t>Non-Food</t>
        </is>
      </c>
      <c r="E226" s="14" t="n">
        <v>7128</v>
      </c>
      <c r="F226" s="13" t="n">
        <v>89100</v>
      </c>
      <c r="G226" s="12" t="n">
        <v>47.52</v>
      </c>
      <c r="H226" s="12" t="n">
        <v>29.7</v>
      </c>
      <c r="I226" s="12">
        <f>IF($H226&gt;0,$H226,IFERROR($G226/Import_Mapping!$B$7,0))</f>
        <v/>
      </c>
    </row>
    <row r="227">
      <c r="A227" s="11" t="n">
        <v>45823</v>
      </c>
      <c r="B227" s="20" t="inlineStr">
        <is>
          <t>Sued Filialen KG</t>
        </is>
      </c>
      <c r="C227" s="20" t="inlineStr">
        <is>
          <t>DE-Sued</t>
        </is>
      </c>
      <c r="D227" s="20" t="inlineStr">
        <is>
          <t>Trockensortiment</t>
        </is>
      </c>
      <c r="E227" s="14" t="n">
        <v>112248</v>
      </c>
      <c r="F227" s="13" t="n">
        <v>207658.8</v>
      </c>
      <c r="G227" s="12" t="n">
        <v>226.06</v>
      </c>
      <c r="H227" s="12" t="n">
        <v>155.9</v>
      </c>
      <c r="I227" s="12">
        <f>IF($H227&gt;0,$H227,IFERROR($G227/Import_Mapping!$B$7,0))</f>
        <v/>
      </c>
    </row>
    <row r="228">
      <c r="A228" s="11" t="n">
        <v>45823</v>
      </c>
      <c r="B228" s="20" t="inlineStr">
        <is>
          <t>Westfilial AG</t>
        </is>
      </c>
      <c r="C228" s="20" t="inlineStr">
        <is>
          <t>DE-West</t>
        </is>
      </c>
      <c r="D228" s="20" t="inlineStr">
        <is>
          <t>Trockensortiment</t>
        </is>
      </c>
      <c r="E228" s="14" t="n">
        <v>158616</v>
      </c>
      <c r="F228" s="13" t="n">
        <v>293439.6</v>
      </c>
      <c r="G228" s="12" t="n">
        <v>319.44</v>
      </c>
      <c r="H228" s="12" t="n">
        <v>220.3</v>
      </c>
      <c r="I228" s="12">
        <f>IF($H228&gt;0,$H228,IFERROR($G228/Import_Mapping!$B$7,0))</f>
        <v/>
      </c>
    </row>
    <row r="229">
      <c r="A229" s="11" t="n">
        <v>45823</v>
      </c>
      <c r="B229" s="20" t="inlineStr">
        <is>
          <t>Wisla Retail Sp.</t>
        </is>
      </c>
      <c r="C229" s="20" t="inlineStr">
        <is>
          <t>PL</t>
        </is>
      </c>
      <c r="D229" s="20" t="inlineStr">
        <is>
          <t>Kuehlware</t>
        </is>
      </c>
      <c r="E229" s="14" t="n">
        <v>8064</v>
      </c>
      <c r="F229" s="13" t="n">
        <v>27417.6</v>
      </c>
      <c r="G229" s="12" t="n">
        <v>21.84</v>
      </c>
      <c r="H229" s="12" t="n">
        <v>16.8</v>
      </c>
      <c r="I229" s="12">
        <f>IF($H229&gt;0,$H229,IFERROR($G229/Import_Mapping!$B$7,0))</f>
        <v/>
      </c>
    </row>
    <row r="230">
      <c r="A230" s="11" t="n">
        <v>45824</v>
      </c>
      <c r="B230" s="20" t="inlineStr">
        <is>
          <t>Elbe Handel GmbH</t>
        </is>
      </c>
      <c r="C230" s="20" t="inlineStr">
        <is>
          <t>DE-Nord</t>
        </is>
      </c>
      <c r="D230" s="20" t="inlineStr">
        <is>
          <t>Aktionsware</t>
        </is>
      </c>
      <c r="E230" s="14" t="n">
        <v>6588</v>
      </c>
      <c r="F230" s="13" t="n">
        <v>40845.6</v>
      </c>
      <c r="G230" s="12" t="n">
        <v>27.45</v>
      </c>
      <c r="H230" s="12" t="n">
        <v>18.3</v>
      </c>
      <c r="I230" s="12">
        <f>IF($H230&gt;0,$H230,IFERROR($G230/Import_Mapping!$B$7,0))</f>
        <v/>
      </c>
    </row>
    <row r="231">
      <c r="A231" s="11" t="n">
        <v>45825</v>
      </c>
      <c r="B231" s="20" t="inlineStr">
        <is>
          <t>Westfilial AG</t>
        </is>
      </c>
      <c r="C231" s="20" t="inlineStr">
        <is>
          <t>DE-West</t>
        </is>
      </c>
      <c r="D231" s="20" t="inlineStr">
        <is>
          <t>Getraenke</t>
        </is>
      </c>
      <c r="E231" s="14" t="n">
        <v>303840</v>
      </c>
      <c r="F231" s="13" t="n">
        <v>288648</v>
      </c>
      <c r="G231" s="12" t="n">
        <v>490.57</v>
      </c>
      <c r="H231" s="12" t="n">
        <v>316.5</v>
      </c>
      <c r="I231" s="12">
        <f>IF($H231&gt;0,$H231,IFERROR($G231/Import_Mapping!$B$7,0))</f>
        <v/>
      </c>
    </row>
    <row r="232">
      <c r="A232" s="11" t="n">
        <v>45825</v>
      </c>
      <c r="B232" s="20" t="inlineStr">
        <is>
          <t>Odra Handel Sp.</t>
        </is>
      </c>
      <c r="C232" s="20" t="inlineStr">
        <is>
          <t>PL</t>
        </is>
      </c>
      <c r="D232" s="20" t="inlineStr">
        <is>
          <t>Non-Food</t>
        </is>
      </c>
      <c r="E232" s="14" t="n">
        <v>12048</v>
      </c>
      <c r="F232" s="13" t="n">
        <v>150600</v>
      </c>
      <c r="G232" s="12" t="n">
        <v>80.31999999999999</v>
      </c>
      <c r="H232" s="12" t="n">
        <v>50.2</v>
      </c>
      <c r="I232" s="12">
        <f>IF($H232&gt;0,$H232,IFERROR($G232/Import_Mapping!$B$7,0))</f>
        <v/>
      </c>
    </row>
    <row r="233">
      <c r="A233" s="11" t="n">
        <v>45826</v>
      </c>
      <c r="B233" s="20" t="inlineStr">
        <is>
          <t>Wisla Retail Sp.</t>
        </is>
      </c>
      <c r="C233" s="20" t="inlineStr">
        <is>
          <t>PL</t>
        </is>
      </c>
      <c r="D233" s="20" t="inlineStr">
        <is>
          <t>Aktionsware</t>
        </is>
      </c>
      <c r="E233" s="14" t="n">
        <v>14760</v>
      </c>
      <c r="F233" s="13" t="n">
        <v>91512</v>
      </c>
      <c r="G233" s="12" t="n">
        <v>61.5</v>
      </c>
      <c r="H233" s="12" t="n">
        <v>41</v>
      </c>
      <c r="I233" s="12">
        <f>IF($H233&gt;0,$H233,IFERROR($G233/Import_Mapping!$B$7,0))</f>
        <v/>
      </c>
    </row>
    <row r="234">
      <c r="A234" s="11" t="n">
        <v>45827</v>
      </c>
      <c r="B234" s="20" t="inlineStr">
        <is>
          <t>Sued Filialen KG</t>
        </is>
      </c>
      <c r="C234" s="20" t="inlineStr">
        <is>
          <t>DE-Sued</t>
        </is>
      </c>
      <c r="D234" s="20" t="inlineStr">
        <is>
          <t>Non-Food</t>
        </is>
      </c>
      <c r="E234" s="14" t="n">
        <v>10776</v>
      </c>
      <c r="F234" s="13" t="n">
        <v>134700</v>
      </c>
      <c r="G234" s="12" t="n">
        <v>71.84</v>
      </c>
      <c r="H234" s="12" t="n">
        <v>44.9</v>
      </c>
      <c r="I234" s="12">
        <f>IF($H234&gt;0,$H234,IFERROR($G234/Import_Mapping!$B$7,0))</f>
        <v/>
      </c>
    </row>
    <row r="235">
      <c r="A235" s="11" t="n">
        <v>45827</v>
      </c>
      <c r="B235" s="20" t="inlineStr">
        <is>
          <t>Rheinland Retail SE</t>
        </is>
      </c>
      <c r="C235" s="20" t="inlineStr">
        <is>
          <t>DE-West</t>
        </is>
      </c>
      <c r="D235" s="20" t="inlineStr">
        <is>
          <t>Non-Food</t>
        </is>
      </c>
      <c r="E235" s="14" t="n">
        <v>15360</v>
      </c>
      <c r="F235" s="13" t="n">
        <v>192000</v>
      </c>
      <c r="G235" s="12" t="n">
        <v>102.4</v>
      </c>
      <c r="H235" s="12" t="n">
        <v>64</v>
      </c>
      <c r="I235" s="12">
        <f>IF($H235&gt;0,$H235,IFERROR($G235/Import_Mapping!$B$7,0))</f>
        <v/>
      </c>
    </row>
    <row r="236">
      <c r="A236" s="11" t="n">
        <v>45830</v>
      </c>
      <c r="B236" s="20" t="inlineStr">
        <is>
          <t>Spree Markt AG</t>
        </is>
      </c>
      <c r="C236" s="20" t="inlineStr">
        <is>
          <t>DE-Ost</t>
        </is>
      </c>
      <c r="D236" s="20" t="inlineStr">
        <is>
          <t>Aktionsware</t>
        </is>
      </c>
      <c r="E236" s="14" t="n">
        <v>6372</v>
      </c>
      <c r="F236" s="13" t="n">
        <v>39506.4</v>
      </c>
      <c r="G236" s="12" t="n">
        <v>26.55</v>
      </c>
      <c r="H236" s="12" t="n">
        <v>17.7</v>
      </c>
      <c r="I236" s="12">
        <f>IF($H236&gt;0,$H236,IFERROR($G236/Import_Mapping!$B$7,0))</f>
        <v/>
      </c>
    </row>
    <row r="237">
      <c r="A237" s="11" t="n">
        <v>45830</v>
      </c>
      <c r="B237" s="20" t="inlineStr">
        <is>
          <t>Westfilial AG</t>
        </is>
      </c>
      <c r="C237" s="20" t="inlineStr">
        <is>
          <t>DE-West</t>
        </is>
      </c>
      <c r="D237" s="20" t="inlineStr">
        <is>
          <t>Kuehlware</t>
        </is>
      </c>
      <c r="E237" s="14" t="n">
        <v>57312</v>
      </c>
      <c r="F237" s="13" t="n">
        <v>194860.8</v>
      </c>
      <c r="G237" s="12" t="n">
        <v>155.22</v>
      </c>
      <c r="H237" s="12" t="n">
        <v>119.4</v>
      </c>
      <c r="I237" s="12">
        <f>IF($H237&gt;0,$H237,IFERROR($G237/Import_Mapping!$B$7,0))</f>
        <v/>
      </c>
    </row>
    <row r="238">
      <c r="A238" s="11" t="n">
        <v>45831</v>
      </c>
      <c r="B238" s="20" t="inlineStr">
        <is>
          <t>Hessen Vertrieb GmbH</t>
        </is>
      </c>
      <c r="C238" s="20" t="inlineStr">
        <is>
          <t>DE-Mitte</t>
        </is>
      </c>
      <c r="D238" s="20" t="inlineStr">
        <is>
          <t>Non-Food</t>
        </is>
      </c>
      <c r="E238" s="14" t="n">
        <v>10008</v>
      </c>
      <c r="F238" s="13" t="n">
        <v>125100</v>
      </c>
      <c r="G238" s="12" t="n">
        <v>66.72</v>
      </c>
      <c r="H238" s="12" t="n">
        <v>41.7</v>
      </c>
      <c r="I238" s="12">
        <f>IF($H238&gt;0,$H238,IFERROR($G238/Import_Mapping!$B$7,0))</f>
        <v/>
      </c>
    </row>
    <row r="239">
      <c r="A239" s="11" t="n">
        <v>45832</v>
      </c>
      <c r="B239" s="20" t="inlineStr">
        <is>
          <t>Tirol Handel AG</t>
        </is>
      </c>
      <c r="C239" s="20" t="inlineStr">
        <is>
          <t>AT</t>
        </is>
      </c>
      <c r="D239" s="20" t="inlineStr">
        <is>
          <t>Trockensortiment</t>
        </is>
      </c>
      <c r="E239" s="14" t="n">
        <v>33696</v>
      </c>
      <c r="F239" s="13" t="n">
        <v>62337.6</v>
      </c>
      <c r="G239" s="12" t="n">
        <v>67.86</v>
      </c>
      <c r="H239" s="12" t="n">
        <v>46.8</v>
      </c>
      <c r="I239" s="12">
        <f>IF($H239&gt;0,$H239,IFERROR($G239/Import_Mapping!$B$7,0))</f>
        <v/>
      </c>
    </row>
    <row r="240">
      <c r="A240" s="11" t="n">
        <v>45832</v>
      </c>
      <c r="B240" s="20" t="inlineStr">
        <is>
          <t>Sachsen Handel GmbH</t>
        </is>
      </c>
      <c r="C240" s="20" t="inlineStr">
        <is>
          <t>DE-Ost</t>
        </is>
      </c>
      <c r="D240" s="20" t="inlineStr">
        <is>
          <t>Trockensortiment</t>
        </is>
      </c>
      <c r="E240" s="14" t="n">
        <v>65880</v>
      </c>
      <c r="F240" s="13" t="n">
        <v>121878</v>
      </c>
      <c r="G240" s="12" t="n">
        <v>132.67</v>
      </c>
      <c r="H240" s="12" t="n">
        <v>91.5</v>
      </c>
      <c r="I240" s="12">
        <f>IF($H240&gt;0,$H240,IFERROR($G240/Import_Mapping!$B$7,0))</f>
        <v/>
      </c>
    </row>
    <row r="241">
      <c r="A241" s="11" t="n">
        <v>45832</v>
      </c>
      <c r="B241" s="20" t="inlineStr">
        <is>
          <t>Donau Handel AG</t>
        </is>
      </c>
      <c r="C241" s="20" t="inlineStr">
        <is>
          <t>DE-Sued</t>
        </is>
      </c>
      <c r="D241" s="20" t="inlineStr">
        <is>
          <t>Aktionsware</t>
        </is>
      </c>
      <c r="E241" s="14" t="n">
        <v>10224</v>
      </c>
      <c r="F241" s="13" t="n">
        <v>63388.8</v>
      </c>
      <c r="G241" s="12" t="n">
        <v>42.6</v>
      </c>
      <c r="H241" s="12" t="n">
        <v>28.4</v>
      </c>
      <c r="I241" s="12">
        <f>IF($H241&gt;0,$H241,IFERROR($G241/Import_Mapping!$B$7,0))</f>
        <v/>
      </c>
    </row>
    <row r="242">
      <c r="A242" s="11" t="n">
        <v>45832</v>
      </c>
      <c r="B242" s="20" t="inlineStr">
        <is>
          <t>Odra Handel Sp.</t>
        </is>
      </c>
      <c r="C242" s="20" t="inlineStr">
        <is>
          <t>PL</t>
        </is>
      </c>
      <c r="D242" s="20" t="inlineStr">
        <is>
          <t>Getraenke</t>
        </is>
      </c>
      <c r="E242" s="14" t="n">
        <v>62208</v>
      </c>
      <c r="F242" s="13" t="n">
        <v>59097.6</v>
      </c>
      <c r="G242" s="12" t="n">
        <v>100.44</v>
      </c>
      <c r="H242" s="12" t="n">
        <v>64.8</v>
      </c>
      <c r="I242" s="12">
        <f>IF($H242&gt;0,$H242,IFERROR($G242/Import_Mapping!$B$7,0))</f>
        <v/>
      </c>
    </row>
    <row r="243">
      <c r="A243" s="11" t="n">
        <v>45833</v>
      </c>
      <c r="B243" s="20" t="inlineStr">
        <is>
          <t>Alpenmarkt GmbH</t>
        </is>
      </c>
      <c r="C243" s="20" t="inlineStr">
        <is>
          <t>DE-Sued</t>
        </is>
      </c>
      <c r="D243" s="20" t="inlineStr">
        <is>
          <t>Getraenke</t>
        </is>
      </c>
      <c r="E243" s="14" t="n">
        <v>288192</v>
      </c>
      <c r="F243" s="13" t="n">
        <v>273782.4</v>
      </c>
      <c r="G243" s="12" t="n">
        <v>465.31</v>
      </c>
      <c r="H243" s="12" t="n">
        <v>300.2</v>
      </c>
      <c r="I243" s="12">
        <f>IF($H243&gt;0,$H243,IFERROR($G243/Import_Mapping!$B$7,0))</f>
        <v/>
      </c>
    </row>
    <row r="244">
      <c r="A244" s="11" t="n">
        <v>45833</v>
      </c>
      <c r="B244" s="20" t="inlineStr">
        <is>
          <t>Delta Foods BV</t>
        </is>
      </c>
      <c r="C244" s="20" t="inlineStr">
        <is>
          <t>NL</t>
        </is>
      </c>
      <c r="D244" s="20" t="inlineStr">
        <is>
          <t>Trockensortiment</t>
        </is>
      </c>
      <c r="E244" s="14" t="n">
        <v>42912</v>
      </c>
      <c r="F244" s="13" t="n">
        <v>79387.2</v>
      </c>
      <c r="G244" s="12" t="n">
        <v>86.42</v>
      </c>
      <c r="H244" s="12" t="n">
        <v>59.6</v>
      </c>
      <c r="I244" s="12">
        <f>IF($H244&gt;0,$H244,IFERROR($G244/Import_Mapping!$B$7,0))</f>
        <v/>
      </c>
    </row>
    <row r="245">
      <c r="A245" s="11" t="n">
        <v>45839</v>
      </c>
      <c r="B245" s="20" t="inlineStr">
        <is>
          <t>Spree Markt AG</t>
        </is>
      </c>
      <c r="C245" s="20" t="inlineStr">
        <is>
          <t>DE-Ost</t>
        </is>
      </c>
      <c r="D245" s="20" t="inlineStr">
        <is>
          <t>Kuehlware</t>
        </is>
      </c>
      <c r="E245" s="14" t="n">
        <v>24144</v>
      </c>
      <c r="F245" s="13" t="n">
        <v>82089.60000000001</v>
      </c>
      <c r="G245" s="12" t="n">
        <v>65.39</v>
      </c>
      <c r="H245" s="12" t="n">
        <v>50.3</v>
      </c>
      <c r="I245" s="12">
        <f>IF($H245&gt;0,$H245,IFERROR($G245/Import_Mapping!$B$7,0))</f>
        <v/>
      </c>
    </row>
    <row r="246">
      <c r="A246" s="11" t="n">
        <v>45840</v>
      </c>
      <c r="B246" s="20" t="inlineStr">
        <is>
          <t>Nordmarkt AG</t>
        </is>
      </c>
      <c r="C246" s="20" t="inlineStr">
        <is>
          <t>DE-Nord</t>
        </is>
      </c>
      <c r="D246" s="20" t="inlineStr">
        <is>
          <t>Aktionsware</t>
        </is>
      </c>
      <c r="E246" s="14" t="n">
        <v>9432</v>
      </c>
      <c r="F246" s="13" t="n">
        <v>58478.4</v>
      </c>
      <c r="G246" s="12" t="n">
        <v>39.3</v>
      </c>
      <c r="H246" s="12" t="n">
        <v>26.2</v>
      </c>
      <c r="I246" s="12">
        <f>IF($H246&gt;0,$H246,IFERROR($G246/Import_Mapping!$B$7,0))</f>
        <v/>
      </c>
    </row>
    <row r="247">
      <c r="A247" s="11" t="n">
        <v>45840</v>
      </c>
      <c r="B247" s="20" t="inlineStr">
        <is>
          <t>Kuestenlager KG</t>
        </is>
      </c>
      <c r="C247" s="20" t="inlineStr">
        <is>
          <t>DE-Nord</t>
        </is>
      </c>
      <c r="D247" s="20" t="inlineStr">
        <is>
          <t>Kuehlware</t>
        </is>
      </c>
      <c r="E247" s="14" t="n">
        <v>50880</v>
      </c>
      <c r="F247" s="13" t="n">
        <v>172992</v>
      </c>
      <c r="G247" s="12" t="n">
        <v>137.8</v>
      </c>
      <c r="H247" s="12" t="n">
        <v>106</v>
      </c>
      <c r="I247" s="12">
        <f>IF($H247&gt;0,$H247,IFERROR($G247/Import_Mapping!$B$7,0))</f>
        <v/>
      </c>
    </row>
    <row r="248">
      <c r="A248" s="11" t="n">
        <v>45840</v>
      </c>
      <c r="B248" s="20" t="inlineStr">
        <is>
          <t>Delta Foods BV</t>
        </is>
      </c>
      <c r="C248" s="20" t="inlineStr">
        <is>
          <t>NL</t>
        </is>
      </c>
      <c r="D248" s="20" t="inlineStr">
        <is>
          <t>Non-Food</t>
        </is>
      </c>
      <c r="E248" s="14" t="n">
        <v>6288</v>
      </c>
      <c r="F248" s="13" t="n">
        <v>78600</v>
      </c>
      <c r="G248" s="12" t="n">
        <v>41.92</v>
      </c>
      <c r="H248" s="12" t="n">
        <v>26.2</v>
      </c>
      <c r="I248" s="12">
        <f>IF($H248&gt;0,$H248,IFERROR($G248/Import_Mapping!$B$7,0))</f>
        <v/>
      </c>
    </row>
    <row r="249">
      <c r="A249" s="11" t="n">
        <v>45840</v>
      </c>
      <c r="B249" s="20" t="inlineStr">
        <is>
          <t>Wisla Retail Sp.</t>
        </is>
      </c>
      <c r="C249" s="20" t="inlineStr">
        <is>
          <t>PL</t>
        </is>
      </c>
      <c r="D249" s="20" t="inlineStr">
        <is>
          <t>Getraenke</t>
        </is>
      </c>
      <c r="E249" s="14" t="n">
        <v>52128</v>
      </c>
      <c r="F249" s="13" t="n">
        <v>49521.6</v>
      </c>
      <c r="G249" s="12" t="n">
        <v>84.16</v>
      </c>
      <c r="H249" s="12" t="n">
        <v>54.3</v>
      </c>
      <c r="I249" s="12">
        <f>IF($H249&gt;0,$H249,IFERROR($G249/Import_Mapping!$B$7,0))</f>
        <v/>
      </c>
    </row>
    <row r="250">
      <c r="A250" s="11" t="n">
        <v>45841</v>
      </c>
      <c r="B250" s="20" t="inlineStr">
        <is>
          <t>Nordmarkt AG</t>
        </is>
      </c>
      <c r="C250" s="20" t="inlineStr">
        <is>
          <t>DE-Nord</t>
        </is>
      </c>
      <c r="D250" s="20" t="inlineStr">
        <is>
          <t>Trockensortiment</t>
        </is>
      </c>
      <c r="E250" s="14" t="n">
        <v>106560</v>
      </c>
      <c r="F250" s="13" t="n">
        <v>197136</v>
      </c>
      <c r="G250" s="12" t="n">
        <v>214.6</v>
      </c>
      <c r="H250" s="12" t="n">
        <v>148</v>
      </c>
      <c r="I250" s="12">
        <f>IF($H250&gt;0,$H250,IFERROR($G250/Import_Mapping!$B$7,0))</f>
        <v/>
      </c>
    </row>
    <row r="251">
      <c r="A251" s="11" t="n">
        <v>45841</v>
      </c>
      <c r="B251" s="20" t="inlineStr">
        <is>
          <t>Spree Markt AG</t>
        </is>
      </c>
      <c r="C251" s="20" t="inlineStr">
        <is>
          <t>DE-Ost</t>
        </is>
      </c>
      <c r="D251" s="20" t="inlineStr">
        <is>
          <t>Aktionsware</t>
        </is>
      </c>
      <c r="E251" s="14" t="n">
        <v>7668</v>
      </c>
      <c r="F251" s="13" t="n">
        <v>47541.6</v>
      </c>
      <c r="G251" s="12" t="n">
        <v>31.95</v>
      </c>
      <c r="H251" s="12" t="n">
        <v>21.3</v>
      </c>
      <c r="I251" s="12">
        <f>IF($H251&gt;0,$H251,IFERROR($G251/Import_Mapping!$B$7,0))</f>
        <v/>
      </c>
    </row>
    <row r="252">
      <c r="A252" s="11" t="n">
        <v>45842</v>
      </c>
      <c r="B252" s="20" t="inlineStr">
        <is>
          <t>Austria Markt GmbH</t>
        </is>
      </c>
      <c r="C252" s="20" t="inlineStr">
        <is>
          <t>AT</t>
        </is>
      </c>
      <c r="D252" s="20" t="inlineStr">
        <is>
          <t>Non-Food</t>
        </is>
      </c>
      <c r="E252" s="14" t="n">
        <v>4608</v>
      </c>
      <c r="F252" s="13" t="n">
        <v>57600</v>
      </c>
      <c r="G252" s="12" t="n">
        <v>30.72</v>
      </c>
      <c r="H252" s="12" t="n">
        <v>19.2</v>
      </c>
      <c r="I252" s="12">
        <f>IF($H252&gt;0,$H252,IFERROR($G252/Import_Mapping!$B$7,0))</f>
        <v/>
      </c>
    </row>
    <row r="253">
      <c r="A253" s="11" t="n">
        <v>45842</v>
      </c>
      <c r="B253" s="20" t="inlineStr">
        <is>
          <t>Austria Markt GmbH</t>
        </is>
      </c>
      <c r="C253" s="20" t="inlineStr">
        <is>
          <t>AT</t>
        </is>
      </c>
      <c r="D253" s="20" t="inlineStr">
        <is>
          <t>Trockensortiment</t>
        </is>
      </c>
      <c r="E253" s="14" t="n">
        <v>29448</v>
      </c>
      <c r="F253" s="13" t="n">
        <v>54478.8</v>
      </c>
      <c r="G253" s="12" t="n">
        <v>59.3</v>
      </c>
      <c r="H253" s="12" t="n">
        <v>40.9</v>
      </c>
      <c r="I253" s="12">
        <f>IF($H253&gt;0,$H253,IFERROR($G253/Import_Mapping!$B$7,0))</f>
        <v/>
      </c>
    </row>
    <row r="254">
      <c r="A254" s="11" t="n">
        <v>45842</v>
      </c>
      <c r="B254" s="20" t="inlineStr">
        <is>
          <t>Hessen Vertrieb GmbH</t>
        </is>
      </c>
      <c r="C254" s="20" t="inlineStr">
        <is>
          <t>DE-Mitte</t>
        </is>
      </c>
      <c r="D254" s="20" t="inlineStr">
        <is>
          <t>Non-Food</t>
        </is>
      </c>
      <c r="E254" s="14" t="n">
        <v>8352</v>
      </c>
      <c r="F254" s="13" t="n">
        <v>104400</v>
      </c>
      <c r="G254" s="12" t="n">
        <v>55.68</v>
      </c>
      <c r="H254" s="12" t="n">
        <v>34.8</v>
      </c>
      <c r="I254" s="12">
        <f>IF($H254&gt;0,$H254,IFERROR($G254/Import_Mapping!$B$7,0))</f>
        <v/>
      </c>
    </row>
    <row r="255">
      <c r="A255" s="11" t="n">
        <v>45842</v>
      </c>
      <c r="B255" s="20" t="inlineStr">
        <is>
          <t>Rheinland Retail SE</t>
        </is>
      </c>
      <c r="C255" s="20" t="inlineStr">
        <is>
          <t>DE-West</t>
        </is>
      </c>
      <c r="D255" s="20" t="inlineStr">
        <is>
          <t>Getraenke</t>
        </is>
      </c>
      <c r="E255" s="14" t="n">
        <v>301440</v>
      </c>
      <c r="F255" s="13" t="n">
        <v>286368</v>
      </c>
      <c r="G255" s="12" t="n">
        <v>486.7</v>
      </c>
      <c r="H255" s="12" t="n">
        <v>314</v>
      </c>
      <c r="I255" s="12">
        <f>IF($H255&gt;0,$H255,IFERROR($G255/Import_Mapping!$B$7,0))</f>
        <v/>
      </c>
    </row>
    <row r="256">
      <c r="A256" s="11" t="n">
        <v>45842</v>
      </c>
      <c r="B256" s="20" t="inlineStr">
        <is>
          <t>Randstad Retail BV</t>
        </is>
      </c>
      <c r="C256" s="20" t="inlineStr">
        <is>
          <t>NL</t>
        </is>
      </c>
      <c r="D256" s="20" t="inlineStr">
        <is>
          <t>Aktionsware</t>
        </is>
      </c>
      <c r="E256" s="14" t="n">
        <v>4608</v>
      </c>
      <c r="F256" s="13" t="n">
        <v>28569.6</v>
      </c>
      <c r="G256" s="12" t="n">
        <v>19.2</v>
      </c>
      <c r="H256" s="12" t="n">
        <v>12.8</v>
      </c>
      <c r="I256" s="12">
        <f>IF($H256&gt;0,$H256,IFERROR($G256/Import_Mapping!$B$7,0))</f>
        <v/>
      </c>
    </row>
    <row r="257">
      <c r="A257" s="11" t="n">
        <v>45844</v>
      </c>
      <c r="B257" s="20" t="inlineStr">
        <is>
          <t>Tirol Handel AG</t>
        </is>
      </c>
      <c r="C257" s="20" t="inlineStr">
        <is>
          <t>AT</t>
        </is>
      </c>
      <c r="D257" s="20" t="inlineStr">
        <is>
          <t>Getraenke</t>
        </is>
      </c>
      <c r="E257" s="14" t="n">
        <v>81120</v>
      </c>
      <c r="F257" s="13" t="n">
        <v>77064</v>
      </c>
      <c r="G257" s="12" t="n">
        <v>130.97</v>
      </c>
      <c r="H257" s="12" t="n">
        <v>84.5</v>
      </c>
      <c r="I257" s="12">
        <f>IF($H257&gt;0,$H257,IFERROR($G257/Import_Mapping!$B$7,0))</f>
        <v/>
      </c>
    </row>
    <row r="258">
      <c r="A258" s="11" t="n">
        <v>45844</v>
      </c>
      <c r="B258" s="20" t="inlineStr">
        <is>
          <t>Mainpunkt Handel</t>
        </is>
      </c>
      <c r="C258" s="20" t="inlineStr">
        <is>
          <t>DE-Mitte</t>
        </is>
      </c>
      <c r="D258" s="20" t="inlineStr">
        <is>
          <t>Getraenke</t>
        </is>
      </c>
      <c r="E258" s="14" t="n">
        <v>203040</v>
      </c>
      <c r="F258" s="13" t="n">
        <v>192888</v>
      </c>
      <c r="G258" s="12" t="n">
        <v>327.82</v>
      </c>
      <c r="H258" s="12" t="n">
        <v>211.5</v>
      </c>
      <c r="I258" s="12">
        <f>IF($H258&gt;0,$H258,IFERROR($G258/Import_Mapping!$B$7,0))</f>
        <v/>
      </c>
    </row>
    <row r="259">
      <c r="A259" s="11" t="n">
        <v>45845</v>
      </c>
      <c r="B259" s="20" t="inlineStr">
        <is>
          <t>Elbe Handel GmbH</t>
        </is>
      </c>
      <c r="C259" s="20" t="inlineStr">
        <is>
          <t>DE-Nord</t>
        </is>
      </c>
      <c r="D259" s="20" t="inlineStr">
        <is>
          <t>Non-Food</t>
        </is>
      </c>
      <c r="E259" s="14" t="n">
        <v>10080</v>
      </c>
      <c r="F259" s="13" t="n">
        <v>126000</v>
      </c>
      <c r="G259" s="12" t="n">
        <v>67.2</v>
      </c>
      <c r="H259" s="12" t="n">
        <v>42</v>
      </c>
      <c r="I259" s="12">
        <f>IF($H259&gt;0,$H259,IFERROR($G259/Import_Mapping!$B$7,0))</f>
        <v/>
      </c>
    </row>
    <row r="260">
      <c r="A260" s="11" t="n">
        <v>45848</v>
      </c>
      <c r="B260" s="20" t="inlineStr">
        <is>
          <t>Sachsen Handel GmbH</t>
        </is>
      </c>
      <c r="C260" s="20" t="inlineStr">
        <is>
          <t>DE-Ost</t>
        </is>
      </c>
      <c r="D260" s="20" t="inlineStr">
        <is>
          <t>Getraenke</t>
        </is>
      </c>
      <c r="E260" s="14" t="n">
        <v>176544</v>
      </c>
      <c r="F260" s="13" t="n">
        <v>167716.8</v>
      </c>
      <c r="G260" s="12" t="n">
        <v>285.05</v>
      </c>
      <c r="H260" s="12" t="n">
        <v>183.9</v>
      </c>
      <c r="I260" s="12">
        <f>IF($H260&gt;0,$H260,IFERROR($G260/Import_Mapping!$B$7,0))</f>
        <v/>
      </c>
    </row>
    <row r="261">
      <c r="A261" s="11" t="n">
        <v>45848</v>
      </c>
      <c r="B261" s="20" t="inlineStr">
        <is>
          <t>Sued Filialen KG</t>
        </is>
      </c>
      <c r="C261" s="20" t="inlineStr">
        <is>
          <t>DE-Sued</t>
        </is>
      </c>
      <c r="D261" s="20" t="inlineStr">
        <is>
          <t>Kuehlware</t>
        </is>
      </c>
      <c r="E261" s="14" t="n">
        <v>45264</v>
      </c>
      <c r="F261" s="13" t="n">
        <v>153897.6</v>
      </c>
      <c r="G261" s="12" t="n">
        <v>122.59</v>
      </c>
      <c r="H261" s="12" t="n">
        <v>94.3</v>
      </c>
      <c r="I261" s="12">
        <f>IF($H261&gt;0,$H261,IFERROR($G261/Import_Mapping!$B$7,0))</f>
        <v/>
      </c>
    </row>
    <row r="262">
      <c r="A262" s="11" t="n">
        <v>45848</v>
      </c>
      <c r="B262" s="20" t="inlineStr">
        <is>
          <t>Alpenmarkt GmbH</t>
        </is>
      </c>
      <c r="C262" s="20" t="inlineStr">
        <is>
          <t>DE-Sued</t>
        </is>
      </c>
      <c r="D262" s="20" t="inlineStr">
        <is>
          <t>Trockensortiment</t>
        </is>
      </c>
      <c r="E262" s="14" t="n">
        <v>109512</v>
      </c>
      <c r="F262" s="13" t="n">
        <v>202597.2</v>
      </c>
      <c r="G262" s="12" t="n">
        <v>220.54</v>
      </c>
      <c r="H262" s="12" t="n">
        <v>152.1</v>
      </c>
      <c r="I262" s="12">
        <f>IF($H262&gt;0,$H262,IFERROR($G262/Import_Mapping!$B$7,0))</f>
        <v/>
      </c>
    </row>
    <row r="263">
      <c r="A263" s="11" t="n">
        <v>45849</v>
      </c>
      <c r="B263" s="20" t="inlineStr">
        <is>
          <t>Westfilial AG</t>
        </is>
      </c>
      <c r="C263" s="20" t="inlineStr">
        <is>
          <t>DE-West</t>
        </is>
      </c>
      <c r="D263" s="20" t="inlineStr">
        <is>
          <t>Trockensortiment</t>
        </is>
      </c>
      <c r="E263" s="14" t="n">
        <v>159048</v>
      </c>
      <c r="F263" s="13" t="n">
        <v>294238.8</v>
      </c>
      <c r="G263" s="12" t="n">
        <v>320.31</v>
      </c>
      <c r="H263" s="12" t="n">
        <v>220.9</v>
      </c>
      <c r="I263" s="12">
        <f>IF($H263&gt;0,$H263,IFERROR($G263/Import_Mapping!$B$7,0))</f>
        <v/>
      </c>
    </row>
    <row r="264">
      <c r="A264" s="11" t="n">
        <v>45850</v>
      </c>
      <c r="B264" s="20" t="inlineStr">
        <is>
          <t>Hessen Vertrieb GmbH</t>
        </is>
      </c>
      <c r="C264" s="20" t="inlineStr">
        <is>
          <t>DE-Mitte</t>
        </is>
      </c>
      <c r="D264" s="20" t="inlineStr">
        <is>
          <t>Kuehlware</t>
        </is>
      </c>
      <c r="E264" s="14" t="n">
        <v>26400</v>
      </c>
      <c r="F264" s="13" t="n">
        <v>89760</v>
      </c>
      <c r="G264" s="12" t="n">
        <v>71.5</v>
      </c>
      <c r="H264" s="12" t="n">
        <v>55</v>
      </c>
      <c r="I264" s="12">
        <f>IF($H264&gt;0,$H264,IFERROR($G264/Import_Mapping!$B$7,0))</f>
        <v/>
      </c>
    </row>
    <row r="265">
      <c r="A265" s="11" t="n">
        <v>45851</v>
      </c>
      <c r="B265" s="20" t="inlineStr">
        <is>
          <t>Westfilial AG</t>
        </is>
      </c>
      <c r="C265" s="20" t="inlineStr">
        <is>
          <t>DE-West</t>
        </is>
      </c>
      <c r="D265" s="20" t="inlineStr">
        <is>
          <t>Non-Food</t>
        </is>
      </c>
      <c r="E265" s="14" t="n">
        <v>14976</v>
      </c>
      <c r="F265" s="13" t="n">
        <v>187200</v>
      </c>
      <c r="G265" s="12" t="n">
        <v>99.84</v>
      </c>
      <c r="H265" s="12" t="n">
        <v>62.4</v>
      </c>
      <c r="I265" s="12">
        <f>IF($H265&gt;0,$H265,IFERROR($G265/Import_Mapping!$B$7,0))</f>
        <v/>
      </c>
    </row>
    <row r="266">
      <c r="A266" s="11" t="n">
        <v>45853</v>
      </c>
      <c r="B266" s="20" t="inlineStr">
        <is>
          <t>Spree Markt AG</t>
        </is>
      </c>
      <c r="C266" s="20" t="inlineStr">
        <is>
          <t>DE-Ost</t>
        </is>
      </c>
      <c r="D266" s="20" t="inlineStr">
        <is>
          <t>Non-Food</t>
        </is>
      </c>
      <c r="E266" s="14" t="n">
        <v>6120</v>
      </c>
      <c r="F266" s="13" t="n">
        <v>76500</v>
      </c>
      <c r="G266" s="12" t="n">
        <v>40.8</v>
      </c>
      <c r="H266" s="12" t="n">
        <v>25.5</v>
      </c>
      <c r="I266" s="12">
        <f>IF($H266&gt;0,$H266,IFERROR($G266/Import_Mapping!$B$7,0))</f>
        <v/>
      </c>
    </row>
    <row r="267">
      <c r="A267" s="11" t="n">
        <v>45853</v>
      </c>
      <c r="B267" s="20" t="inlineStr">
        <is>
          <t>Odra Handel Sp.</t>
        </is>
      </c>
      <c r="C267" s="20" t="inlineStr">
        <is>
          <t>PL</t>
        </is>
      </c>
      <c r="D267" s="20" t="inlineStr">
        <is>
          <t>Aktionsware</t>
        </is>
      </c>
      <c r="E267" s="14" t="n">
        <v>15624</v>
      </c>
      <c r="F267" s="13" t="n">
        <v>96868.8</v>
      </c>
      <c r="G267" s="12" t="n">
        <v>65.09999999999999</v>
      </c>
      <c r="H267" s="12" t="n">
        <v>43.4</v>
      </c>
      <c r="I267" s="12">
        <f>IF($H267&gt;0,$H267,IFERROR($G267/Import_Mapping!$B$7,0))</f>
        <v/>
      </c>
    </row>
    <row r="268">
      <c r="A268" s="11" t="n">
        <v>45854</v>
      </c>
      <c r="B268" s="20" t="inlineStr">
        <is>
          <t>Hessen Vertrieb GmbH</t>
        </is>
      </c>
      <c r="C268" s="20" t="inlineStr">
        <is>
          <t>DE-Mitte</t>
        </is>
      </c>
      <c r="D268" s="20" t="inlineStr">
        <is>
          <t>Aktionsware</t>
        </is>
      </c>
      <c r="E268" s="14" t="n">
        <v>9252</v>
      </c>
      <c r="F268" s="13" t="n">
        <v>57362.4</v>
      </c>
      <c r="G268" s="12" t="n">
        <v>38.55</v>
      </c>
      <c r="H268" s="12" t="n">
        <v>25.7</v>
      </c>
      <c r="I268" s="12">
        <f>IF($H268&gt;0,$H268,IFERROR($G268/Import_Mapping!$B$7,0))</f>
        <v/>
      </c>
    </row>
    <row r="269">
      <c r="A269" s="11" t="n">
        <v>45855</v>
      </c>
      <c r="B269" s="20" t="inlineStr">
        <is>
          <t>Sued Filialen KG</t>
        </is>
      </c>
      <c r="C269" s="20" t="inlineStr">
        <is>
          <t>DE-Sued</t>
        </is>
      </c>
      <c r="D269" s="20" t="inlineStr">
        <is>
          <t>Non-Food</t>
        </is>
      </c>
      <c r="E269" s="14" t="n">
        <v>10560</v>
      </c>
      <c r="F269" s="13" t="n">
        <v>132000</v>
      </c>
      <c r="G269" s="12" t="n">
        <v>70.40000000000001</v>
      </c>
      <c r="H269" s="12" t="n">
        <v>44</v>
      </c>
      <c r="I269" s="12">
        <f>IF($H269&gt;0,$H269,IFERROR($G269/Import_Mapping!$B$7,0))</f>
        <v/>
      </c>
    </row>
    <row r="270">
      <c r="A270" s="11" t="n">
        <v>45855</v>
      </c>
      <c r="B270" s="20" t="inlineStr">
        <is>
          <t>Rheinland Retail SE</t>
        </is>
      </c>
      <c r="C270" s="20" t="inlineStr">
        <is>
          <t>DE-West</t>
        </is>
      </c>
      <c r="D270" s="20" t="inlineStr">
        <is>
          <t>Aktionsware</t>
        </is>
      </c>
      <c r="E270" s="14" t="n">
        <v>12168</v>
      </c>
      <c r="F270" s="13" t="n">
        <v>75441.60000000001</v>
      </c>
      <c r="G270" s="12" t="n">
        <v>50.7</v>
      </c>
      <c r="H270" s="12" t="n">
        <v>33.8</v>
      </c>
      <c r="I270" s="12">
        <f>IF($H270&gt;0,$H270,IFERROR($G270/Import_Mapping!$B$7,0))</f>
        <v/>
      </c>
    </row>
    <row r="271">
      <c r="A271" s="11" t="n">
        <v>45855</v>
      </c>
      <c r="B271" s="20" t="inlineStr">
        <is>
          <t>Randstad Retail BV</t>
        </is>
      </c>
      <c r="C271" s="20" t="inlineStr">
        <is>
          <t>NL</t>
        </is>
      </c>
      <c r="D271" s="20" t="inlineStr">
        <is>
          <t>Getraenke</t>
        </is>
      </c>
      <c r="E271" s="14" t="n">
        <v>60192</v>
      </c>
      <c r="F271" s="13" t="n">
        <v>57182.4</v>
      </c>
      <c r="G271" s="12" t="n">
        <v>97.19</v>
      </c>
      <c r="H271" s="12" t="n">
        <v>62.7</v>
      </c>
      <c r="I271" s="12">
        <f>IF($H271&gt;0,$H271,IFERROR($G271/Import_Mapping!$B$7,0))</f>
        <v/>
      </c>
    </row>
    <row r="272">
      <c r="A272" s="11" t="n">
        <v>45855</v>
      </c>
      <c r="B272" s="20" t="inlineStr">
        <is>
          <t>Randstad Retail BV</t>
        </is>
      </c>
      <c r="C272" s="20" t="inlineStr">
        <is>
          <t>NL</t>
        </is>
      </c>
      <c r="D272" s="20" t="inlineStr">
        <is>
          <t>Kuehlware</t>
        </is>
      </c>
      <c r="E272" s="14" t="n">
        <v>23376</v>
      </c>
      <c r="F272" s="13" t="n">
        <v>79478.39999999999</v>
      </c>
      <c r="G272" s="12" t="n">
        <v>63.31</v>
      </c>
      <c r="H272" s="12" t="n">
        <v>48.7</v>
      </c>
      <c r="I272" s="12">
        <f>IF($H272&gt;0,$H272,IFERROR($G272/Import_Mapping!$B$7,0))</f>
        <v/>
      </c>
    </row>
    <row r="273">
      <c r="A273" s="11" t="n">
        <v>45855</v>
      </c>
      <c r="B273" s="20" t="inlineStr">
        <is>
          <t>Wisla Retail Sp.</t>
        </is>
      </c>
      <c r="C273" s="20" t="inlineStr">
        <is>
          <t>PL</t>
        </is>
      </c>
      <c r="D273" s="20" t="inlineStr">
        <is>
          <t>Non-Food</t>
        </is>
      </c>
      <c r="E273" s="14" t="n">
        <v>11256</v>
      </c>
      <c r="F273" s="13" t="n">
        <v>140700</v>
      </c>
      <c r="G273" s="12" t="n">
        <v>75.04000000000001</v>
      </c>
      <c r="H273" s="12" t="n">
        <v>46.9</v>
      </c>
      <c r="I273" s="12">
        <f>IF($H273&gt;0,$H273,IFERROR($G273/Import_Mapping!$B$7,0))</f>
        <v/>
      </c>
    </row>
    <row r="274">
      <c r="A274" s="11" t="n">
        <v>45855</v>
      </c>
      <c r="B274" s="20" t="inlineStr">
        <is>
          <t>Odra Handel Sp.</t>
        </is>
      </c>
      <c r="C274" s="20" t="inlineStr">
        <is>
          <t>PL</t>
        </is>
      </c>
      <c r="D274" s="20" t="inlineStr">
        <is>
          <t>Trockensortiment</t>
        </is>
      </c>
      <c r="E274" s="14" t="n">
        <v>23544</v>
      </c>
      <c r="F274" s="13" t="n">
        <v>43556.4</v>
      </c>
      <c r="G274" s="12" t="n">
        <v>47.41</v>
      </c>
      <c r="H274" s="12" t="n">
        <v>32.7</v>
      </c>
      <c r="I274" s="12">
        <f>IF($H274&gt;0,$H274,IFERROR($G274/Import_Mapping!$B$7,0))</f>
        <v/>
      </c>
    </row>
    <row r="275">
      <c r="A275" s="11" t="n">
        <v>45857</v>
      </c>
      <c r="B275" s="20" t="inlineStr">
        <is>
          <t>Sachsen Handel GmbH</t>
        </is>
      </c>
      <c r="C275" s="20" t="inlineStr">
        <is>
          <t>DE-Ost</t>
        </is>
      </c>
      <c r="D275" s="20" t="inlineStr">
        <is>
          <t>Trockensortiment</t>
        </is>
      </c>
      <c r="E275" s="14" t="n">
        <v>60552</v>
      </c>
      <c r="F275" s="13" t="n">
        <v>112021.2</v>
      </c>
      <c r="G275" s="12" t="n">
        <v>121.94</v>
      </c>
      <c r="H275" s="12" t="n">
        <v>84.09999999999999</v>
      </c>
      <c r="I275" s="12">
        <f>IF($H275&gt;0,$H275,IFERROR($G275/Import_Mapping!$B$7,0))</f>
        <v/>
      </c>
    </row>
    <row r="276">
      <c r="A276" s="11" t="n">
        <v>45858</v>
      </c>
      <c r="B276" s="20" t="inlineStr">
        <is>
          <t>Donau Handel AG</t>
        </is>
      </c>
      <c r="C276" s="20" t="inlineStr">
        <is>
          <t>DE-Sued</t>
        </is>
      </c>
      <c r="D276" s="20" t="inlineStr">
        <is>
          <t>Aktionsware</t>
        </is>
      </c>
      <c r="E276" s="14" t="n">
        <v>10116</v>
      </c>
      <c r="F276" s="13" t="n">
        <v>62719.2</v>
      </c>
      <c r="G276" s="12" t="n">
        <v>42.15</v>
      </c>
      <c r="H276" s="12" t="n">
        <v>28.1</v>
      </c>
      <c r="I276" s="12">
        <f>IF($H276&gt;0,$H276,IFERROR($G276/Import_Mapping!$B$7,0))</f>
        <v/>
      </c>
    </row>
    <row r="277">
      <c r="A277" s="11" t="n">
        <v>45858</v>
      </c>
      <c r="B277" s="20" t="inlineStr">
        <is>
          <t>Alpenmarkt GmbH</t>
        </is>
      </c>
      <c r="C277" s="20" t="inlineStr">
        <is>
          <t>DE-Sued</t>
        </is>
      </c>
      <c r="D277" s="20" t="inlineStr">
        <is>
          <t>Getraenke</t>
        </is>
      </c>
      <c r="E277" s="14" t="n">
        <v>253248</v>
      </c>
      <c r="F277" s="13" t="n">
        <v>240585.6</v>
      </c>
      <c r="G277" s="12" t="n">
        <v>408.89</v>
      </c>
      <c r="H277" s="12" t="n">
        <v>263.8</v>
      </c>
      <c r="I277" s="12">
        <f>IF($H277&gt;0,$H277,IFERROR($G277/Import_Mapping!$B$7,0))</f>
        <v/>
      </c>
    </row>
    <row r="278">
      <c r="A278" s="11" t="n">
        <v>45860</v>
      </c>
      <c r="B278" s="20" t="inlineStr">
        <is>
          <t>Austria Markt GmbH</t>
        </is>
      </c>
      <c r="C278" s="20" t="inlineStr">
        <is>
          <t>AT</t>
        </is>
      </c>
      <c r="D278" s="20" t="inlineStr">
        <is>
          <t>Aktionsware</t>
        </is>
      </c>
      <c r="E278" s="14" t="n">
        <v>3924</v>
      </c>
      <c r="F278" s="13" t="n">
        <v>24328.8</v>
      </c>
      <c r="G278" s="12" t="n">
        <v>16.35</v>
      </c>
      <c r="H278" s="12" t="n">
        <v>10.9</v>
      </c>
      <c r="I278" s="12">
        <f>IF($H278&gt;0,$H278,IFERROR($G278/Import_Mapping!$B$7,0))</f>
        <v/>
      </c>
    </row>
    <row r="279">
      <c r="A279" s="11" t="n">
        <v>45861</v>
      </c>
      <c r="B279" s="20" t="inlineStr">
        <is>
          <t>Randstad Retail BV</t>
        </is>
      </c>
      <c r="C279" s="20" t="inlineStr">
        <is>
          <t>NL</t>
        </is>
      </c>
      <c r="D279" s="20" t="inlineStr">
        <is>
          <t>Trockensortiment</t>
        </is>
      </c>
      <c r="E279" s="14" t="n">
        <v>42840</v>
      </c>
      <c r="F279" s="13" t="n">
        <v>79254</v>
      </c>
      <c r="G279" s="12" t="n">
        <v>86.27</v>
      </c>
      <c r="H279" s="12" t="n">
        <v>59.5</v>
      </c>
      <c r="I279" s="12">
        <f>IF($H279&gt;0,$H279,IFERROR($G279/Import_Mapping!$B$7,0))</f>
        <v/>
      </c>
    </row>
    <row r="280">
      <c r="A280" s="11" t="n">
        <v>45862</v>
      </c>
      <c r="B280" s="20" t="inlineStr">
        <is>
          <t>Hessen Vertrieb GmbH</t>
        </is>
      </c>
      <c r="C280" s="20" t="inlineStr">
        <is>
          <t>DE-Mitte</t>
        </is>
      </c>
      <c r="D280" s="20" t="inlineStr">
        <is>
          <t>Trockensortiment</t>
        </is>
      </c>
      <c r="E280" s="14" t="n">
        <v>92808</v>
      </c>
      <c r="F280" s="13" t="n">
        <v>171694.8</v>
      </c>
      <c r="G280" s="12" t="n">
        <v>186.91</v>
      </c>
      <c r="H280" s="12" t="n">
        <v>128.9</v>
      </c>
      <c r="I280" s="12">
        <f>IF($H280&gt;0,$H280,IFERROR($G280/Import_Mapping!$B$7,0))</f>
        <v/>
      </c>
    </row>
    <row r="281">
      <c r="A281" s="11" t="n">
        <v>45862</v>
      </c>
      <c r="B281" s="20" t="inlineStr">
        <is>
          <t>Kuestenlager KG</t>
        </is>
      </c>
      <c r="C281" s="20" t="inlineStr">
        <is>
          <t>DE-Nord</t>
        </is>
      </c>
      <c r="D281" s="20" t="inlineStr">
        <is>
          <t>Getraenke</t>
        </is>
      </c>
      <c r="E281" s="14" t="n">
        <v>218304</v>
      </c>
      <c r="F281" s="13" t="n">
        <v>207388.8</v>
      </c>
      <c r="G281" s="12" t="n">
        <v>352.47</v>
      </c>
      <c r="H281" s="12" t="n">
        <v>227.4</v>
      </c>
      <c r="I281" s="12">
        <f>IF($H281&gt;0,$H281,IFERROR($G281/Import_Mapping!$B$7,0))</f>
        <v/>
      </c>
    </row>
    <row r="282">
      <c r="A282" s="11" t="n">
        <v>45863</v>
      </c>
      <c r="B282" s="20" t="inlineStr">
        <is>
          <t>Tirol Handel AG</t>
        </is>
      </c>
      <c r="C282" s="20" t="inlineStr">
        <is>
          <t>AT</t>
        </is>
      </c>
      <c r="D282" s="20" t="inlineStr">
        <is>
          <t>Kuehlware</t>
        </is>
      </c>
      <c r="E282" s="14" t="n">
        <v>11424</v>
      </c>
      <c r="F282" s="13" t="n">
        <v>38841.6</v>
      </c>
      <c r="G282" s="12" t="n">
        <v>30.94</v>
      </c>
      <c r="H282" s="12" t="n">
        <v>23.8</v>
      </c>
      <c r="I282" s="12">
        <f>IF($H282&gt;0,$H282,IFERROR($G282/Import_Mapping!$B$7,0))</f>
        <v/>
      </c>
    </row>
    <row r="283">
      <c r="A283" s="11" t="n">
        <v>45863</v>
      </c>
      <c r="B283" s="20" t="inlineStr">
        <is>
          <t>Ruhr Frische GmbH</t>
        </is>
      </c>
      <c r="C283" s="20" t="inlineStr">
        <is>
          <t>DE-West</t>
        </is>
      </c>
      <c r="D283" s="20" t="inlineStr">
        <is>
          <t>Kuehlware</t>
        </is>
      </c>
      <c r="E283" s="14" t="n">
        <v>56208</v>
      </c>
      <c r="F283" s="13" t="n">
        <v>191107.2</v>
      </c>
      <c r="G283" s="12" t="n">
        <v>152.23</v>
      </c>
      <c r="H283" s="12" t="n">
        <v>117.1</v>
      </c>
      <c r="I283" s="12">
        <f>IF($H283&gt;0,$H283,IFERROR($G283/Import_Mapping!$B$7,0))</f>
        <v/>
      </c>
    </row>
    <row r="284">
      <c r="A284" s="11" t="n">
        <v>45863</v>
      </c>
      <c r="B284" s="20" t="inlineStr">
        <is>
          <t>Wisla Retail Sp.</t>
        </is>
      </c>
      <c r="C284" s="20" t="inlineStr">
        <is>
          <t>PL</t>
        </is>
      </c>
      <c r="D284" s="20" t="inlineStr">
        <is>
          <t>Kuehlware</t>
        </is>
      </c>
      <c r="E284" s="14" t="n">
        <v>8112</v>
      </c>
      <c r="F284" s="13" t="n">
        <v>27580.8</v>
      </c>
      <c r="G284" s="12" t="n">
        <v>21.97</v>
      </c>
      <c r="H284" s="12" t="n">
        <v>16.9</v>
      </c>
      <c r="I284" s="12">
        <f>IF($H284&gt;0,$H284,IFERROR($G284/Import_Mapping!$B$7,0))</f>
        <v/>
      </c>
    </row>
    <row r="285">
      <c r="A285" s="11" t="n">
        <v>45871</v>
      </c>
      <c r="B285" s="20" t="inlineStr">
        <is>
          <t>Hessen Vertrieb GmbH</t>
        </is>
      </c>
      <c r="C285" s="20" t="inlineStr">
        <is>
          <t>DE-Mitte</t>
        </is>
      </c>
      <c r="D285" s="20" t="inlineStr">
        <is>
          <t>Non-Food</t>
        </is>
      </c>
      <c r="E285" s="14" t="n">
        <v>9360</v>
      </c>
      <c r="F285" s="13" t="n">
        <v>117000</v>
      </c>
      <c r="G285" s="12" t="n">
        <v>62.4</v>
      </c>
      <c r="H285" s="12" t="n">
        <v>39</v>
      </c>
      <c r="I285" s="12">
        <f>IF($H285&gt;0,$H285,IFERROR($G285/Import_Mapping!$B$7,0))</f>
        <v/>
      </c>
    </row>
    <row r="286">
      <c r="A286" s="11" t="n">
        <v>45872</v>
      </c>
      <c r="B286" s="20" t="inlineStr">
        <is>
          <t>Tirol Handel AG</t>
        </is>
      </c>
      <c r="C286" s="20" t="inlineStr">
        <is>
          <t>AT</t>
        </is>
      </c>
      <c r="D286" s="20" t="inlineStr">
        <is>
          <t>Trockensortiment</t>
        </is>
      </c>
      <c r="E286" s="14" t="n">
        <v>30024</v>
      </c>
      <c r="F286" s="13" t="n">
        <v>55544.4</v>
      </c>
      <c r="G286" s="12" t="n">
        <v>60.47</v>
      </c>
      <c r="H286" s="12" t="n">
        <v>41.7</v>
      </c>
      <c r="I286" s="12">
        <f>IF($H286&gt;0,$H286,IFERROR($G286/Import_Mapping!$B$7,0))</f>
        <v/>
      </c>
    </row>
    <row r="287">
      <c r="A287" s="11" t="n">
        <v>45873</v>
      </c>
      <c r="B287" s="20" t="inlineStr">
        <is>
          <t>Sued Filialen KG</t>
        </is>
      </c>
      <c r="C287" s="20" t="inlineStr">
        <is>
          <t>DE-Sued</t>
        </is>
      </c>
      <c r="D287" s="20" t="inlineStr">
        <is>
          <t>Aktionsware</t>
        </is>
      </c>
      <c r="E287" s="14" t="n">
        <v>12060</v>
      </c>
      <c r="F287" s="13" t="n">
        <v>74772</v>
      </c>
      <c r="G287" s="12" t="n">
        <v>50.25</v>
      </c>
      <c r="H287" s="12" t="n">
        <v>33.5</v>
      </c>
      <c r="I287" s="12">
        <f>IF($H287&gt;0,$H287,IFERROR($G287/Import_Mapping!$B$7,0))</f>
        <v/>
      </c>
    </row>
    <row r="288">
      <c r="A288" s="11" t="n">
        <v>45873</v>
      </c>
      <c r="B288" s="20" t="inlineStr">
        <is>
          <t>Rheinland Retail SE</t>
        </is>
      </c>
      <c r="C288" s="20" t="inlineStr">
        <is>
          <t>DE-West</t>
        </is>
      </c>
      <c r="D288" s="20" t="inlineStr">
        <is>
          <t>Kuehlware</t>
        </is>
      </c>
      <c r="E288" s="14" t="n">
        <v>46896</v>
      </c>
      <c r="F288" s="13" t="n">
        <v>159446.4</v>
      </c>
      <c r="G288" s="12" t="n">
        <v>127.01</v>
      </c>
      <c r="H288" s="12" t="n">
        <v>97.7</v>
      </c>
      <c r="I288" s="12">
        <f>IF($H288&gt;0,$H288,IFERROR($G288/Import_Mapping!$B$7,0))</f>
        <v/>
      </c>
    </row>
    <row r="289">
      <c r="A289" s="11" t="n">
        <v>45874</v>
      </c>
      <c r="B289" s="20" t="inlineStr">
        <is>
          <t>Nordmarkt AG</t>
        </is>
      </c>
      <c r="C289" s="20" t="inlineStr">
        <is>
          <t>DE-Nord</t>
        </is>
      </c>
      <c r="D289" s="20" t="inlineStr">
        <is>
          <t>Aktionsware</t>
        </is>
      </c>
      <c r="E289" s="14" t="n">
        <v>11052</v>
      </c>
      <c r="F289" s="13" t="n">
        <v>68522.39999999999</v>
      </c>
      <c r="G289" s="12" t="n">
        <v>46.05</v>
      </c>
      <c r="H289" s="12" t="n">
        <v>30.7</v>
      </c>
      <c r="I289" s="12">
        <f>IF($H289&gt;0,$H289,IFERROR($G289/Import_Mapping!$B$7,0))</f>
        <v/>
      </c>
    </row>
    <row r="290">
      <c r="A290" s="11" t="n">
        <v>45874</v>
      </c>
      <c r="B290" s="20" t="inlineStr">
        <is>
          <t>Sachsen Handel GmbH</t>
        </is>
      </c>
      <c r="C290" s="20" t="inlineStr">
        <is>
          <t>DE-Ost</t>
        </is>
      </c>
      <c r="D290" s="20" t="inlineStr">
        <is>
          <t>Kuehlware</t>
        </is>
      </c>
      <c r="E290" s="14" t="n">
        <v>22320</v>
      </c>
      <c r="F290" s="13" t="n">
        <v>75888</v>
      </c>
      <c r="G290" s="12" t="n">
        <v>60.45</v>
      </c>
      <c r="H290" s="12" t="n">
        <v>46.5</v>
      </c>
      <c r="I290" s="12">
        <f>IF($H290&gt;0,$H290,IFERROR($G290/Import_Mapping!$B$7,0))</f>
        <v/>
      </c>
    </row>
    <row r="291">
      <c r="A291" s="11" t="n">
        <v>45874</v>
      </c>
      <c r="B291" s="20" t="inlineStr">
        <is>
          <t>Wisla Retail Sp.</t>
        </is>
      </c>
      <c r="C291" s="20" t="inlineStr">
        <is>
          <t>PL</t>
        </is>
      </c>
      <c r="D291" s="20" t="inlineStr">
        <is>
          <t>Getraenke</t>
        </is>
      </c>
      <c r="E291" s="14" t="n">
        <v>50592</v>
      </c>
      <c r="F291" s="13" t="n">
        <v>48062.4</v>
      </c>
      <c r="G291" s="12" t="n">
        <v>81.69</v>
      </c>
      <c r="H291" s="12" t="n">
        <v>52.7</v>
      </c>
      <c r="I291" s="12">
        <f>IF($H291&gt;0,$H291,IFERROR($G291/Import_Mapping!$B$7,0))</f>
        <v/>
      </c>
    </row>
    <row r="292">
      <c r="A292" s="11" t="n">
        <v>45875</v>
      </c>
      <c r="B292" s="20" t="inlineStr">
        <is>
          <t>Austria Markt GmbH</t>
        </is>
      </c>
      <c r="C292" s="20" t="inlineStr">
        <is>
          <t>AT</t>
        </is>
      </c>
      <c r="D292" s="20" t="inlineStr">
        <is>
          <t>Aktionsware</t>
        </is>
      </c>
      <c r="E292" s="14" t="n">
        <v>4716</v>
      </c>
      <c r="F292" s="13" t="n">
        <v>29239.2</v>
      </c>
      <c r="G292" s="12" t="n">
        <v>19.65</v>
      </c>
      <c r="H292" s="12" t="n">
        <v>13.1</v>
      </c>
      <c r="I292" s="12">
        <f>IF($H292&gt;0,$H292,IFERROR($G292/Import_Mapping!$B$7,0))</f>
        <v/>
      </c>
    </row>
    <row r="293">
      <c r="A293" s="11" t="n">
        <v>45876</v>
      </c>
      <c r="B293" s="20" t="inlineStr">
        <is>
          <t>Austria Markt GmbH</t>
        </is>
      </c>
      <c r="C293" s="20" t="inlineStr">
        <is>
          <t>AT</t>
        </is>
      </c>
      <c r="D293" s="20" t="inlineStr">
        <is>
          <t>Getraenke</t>
        </is>
      </c>
      <c r="E293" s="14" t="n">
        <v>75552</v>
      </c>
      <c r="F293" s="13" t="n">
        <v>71774.39999999999</v>
      </c>
      <c r="G293" s="12" t="n">
        <v>121.99</v>
      </c>
      <c r="H293" s="12" t="n">
        <v>78.7</v>
      </c>
      <c r="I293" s="12">
        <f>IF($H293&gt;0,$H293,IFERROR($G293/Import_Mapping!$B$7,0))</f>
        <v/>
      </c>
    </row>
    <row r="294">
      <c r="A294" s="11" t="n">
        <v>45876</v>
      </c>
      <c r="B294" s="20" t="inlineStr">
        <is>
          <t>Wisla Retail Sp.</t>
        </is>
      </c>
      <c r="C294" s="20" t="inlineStr">
        <is>
          <t>PL</t>
        </is>
      </c>
      <c r="D294" s="20" t="inlineStr">
        <is>
          <t>Non-Food</t>
        </is>
      </c>
      <c r="E294" s="14" t="n">
        <v>10872</v>
      </c>
      <c r="F294" s="13" t="n">
        <v>135900</v>
      </c>
      <c r="G294" s="12" t="n">
        <v>72.48</v>
      </c>
      <c r="H294" s="12" t="n">
        <v>45.3</v>
      </c>
      <c r="I294" s="12">
        <f>IF($H294&gt;0,$H294,IFERROR($G294/Import_Mapping!$B$7,0))</f>
        <v/>
      </c>
    </row>
    <row r="295">
      <c r="A295" s="11" t="n">
        <v>45877</v>
      </c>
      <c r="B295" s="20" t="inlineStr">
        <is>
          <t>Delta Foods BV</t>
        </is>
      </c>
      <c r="C295" s="20" t="inlineStr">
        <is>
          <t>NL</t>
        </is>
      </c>
      <c r="D295" s="20" t="inlineStr">
        <is>
          <t>Getraenke</t>
        </is>
      </c>
      <c r="E295" s="14" t="n">
        <v>61824</v>
      </c>
      <c r="F295" s="13" t="n">
        <v>58732.8</v>
      </c>
      <c r="G295" s="12" t="n">
        <v>99.81999999999999</v>
      </c>
      <c r="H295" s="12" t="n">
        <v>64.40000000000001</v>
      </c>
      <c r="I295" s="12">
        <f>IF($H295&gt;0,$H295,IFERROR($G295/Import_Mapping!$B$7,0))</f>
        <v/>
      </c>
    </row>
    <row r="296">
      <c r="A296" s="11" t="n">
        <v>45877</v>
      </c>
      <c r="B296" s="20" t="inlineStr">
        <is>
          <t>Delta Foods BV</t>
        </is>
      </c>
      <c r="C296" s="20" t="inlineStr">
        <is>
          <t>NL</t>
        </is>
      </c>
      <c r="D296" s="20" t="inlineStr">
        <is>
          <t>Kuehlware</t>
        </is>
      </c>
      <c r="E296" s="14" t="n">
        <v>22272</v>
      </c>
      <c r="F296" s="13" t="n">
        <v>75724.8</v>
      </c>
      <c r="G296" s="12" t="n">
        <v>60.32</v>
      </c>
      <c r="H296" s="12" t="n">
        <v>46.4</v>
      </c>
      <c r="I296" s="12">
        <f>IF($H296&gt;0,$H296,IFERROR($G296/Import_Mapping!$B$7,0))</f>
        <v/>
      </c>
    </row>
    <row r="297">
      <c r="A297" s="11" t="n">
        <v>45877</v>
      </c>
      <c r="B297" s="20" t="inlineStr">
        <is>
          <t>Wisla Retail Sp.</t>
        </is>
      </c>
      <c r="C297" s="20" t="inlineStr">
        <is>
          <t>PL</t>
        </is>
      </c>
      <c r="D297" s="20" t="inlineStr">
        <is>
          <t>Trockensortiment</t>
        </is>
      </c>
      <c r="E297" s="14" t="n">
        <v>23904</v>
      </c>
      <c r="F297" s="13" t="n">
        <v>44222.4</v>
      </c>
      <c r="G297" s="12" t="n">
        <v>48.14</v>
      </c>
      <c r="H297" s="12" t="n">
        <v>33.2</v>
      </c>
      <c r="I297" s="12">
        <f>IF($H297&gt;0,$H297,IFERROR($G297/Import_Mapping!$B$7,0))</f>
        <v/>
      </c>
    </row>
    <row r="298">
      <c r="A298" s="11" t="n">
        <v>45878</v>
      </c>
      <c r="B298" s="20" t="inlineStr">
        <is>
          <t>Ruhr Frische GmbH</t>
        </is>
      </c>
      <c r="C298" s="20" t="inlineStr">
        <is>
          <t>DE-West</t>
        </is>
      </c>
      <c r="D298" s="20" t="inlineStr">
        <is>
          <t>Non-Food</t>
        </is>
      </c>
      <c r="E298" s="14" t="n">
        <v>14472</v>
      </c>
      <c r="F298" s="13" t="n">
        <v>180900</v>
      </c>
      <c r="G298" s="12" t="n">
        <v>96.48</v>
      </c>
      <c r="H298" s="12" t="n">
        <v>60.3</v>
      </c>
      <c r="I298" s="12">
        <f>IF($H298&gt;0,$H298,IFERROR($G298/Import_Mapping!$B$7,0))</f>
        <v/>
      </c>
    </row>
    <row r="299">
      <c r="A299" s="11" t="n">
        <v>45878</v>
      </c>
      <c r="B299" s="20" t="inlineStr">
        <is>
          <t>Delta Foods BV</t>
        </is>
      </c>
      <c r="C299" s="20" t="inlineStr">
        <is>
          <t>NL</t>
        </is>
      </c>
      <c r="D299" s="20" t="inlineStr">
        <is>
          <t>Trockensortiment</t>
        </is>
      </c>
      <c r="E299" s="14" t="n">
        <v>40536</v>
      </c>
      <c r="F299" s="13" t="n">
        <v>74991.60000000001</v>
      </c>
      <c r="G299" s="12" t="n">
        <v>81.63</v>
      </c>
      <c r="H299" s="12" t="n">
        <v>56.3</v>
      </c>
      <c r="I299" s="12">
        <f>IF($H299&gt;0,$H299,IFERROR($G299/Import_Mapping!$B$7,0))</f>
        <v/>
      </c>
    </row>
    <row r="300">
      <c r="A300" s="11" t="n">
        <v>45879</v>
      </c>
      <c r="B300" s="20" t="inlineStr">
        <is>
          <t>Odra Handel Sp.</t>
        </is>
      </c>
      <c r="C300" s="20" t="inlineStr">
        <is>
          <t>PL</t>
        </is>
      </c>
      <c r="D300" s="20" t="inlineStr">
        <is>
          <t>Kuehlware</t>
        </is>
      </c>
      <c r="E300" s="14" t="n">
        <v>7008</v>
      </c>
      <c r="F300" s="13" t="n">
        <v>23827.2</v>
      </c>
      <c r="G300" s="12" t="n">
        <v>18.98</v>
      </c>
      <c r="H300" s="12" t="n">
        <v>14.6</v>
      </c>
      <c r="I300" s="12">
        <f>IF($H300&gt;0,$H300,IFERROR($G300/Import_Mapping!$B$7,0))</f>
        <v/>
      </c>
    </row>
    <row r="301">
      <c r="A301" s="11" t="n">
        <v>45880</v>
      </c>
      <c r="B301" s="20" t="inlineStr">
        <is>
          <t>Hessen Vertrieb GmbH</t>
        </is>
      </c>
      <c r="C301" s="20" t="inlineStr">
        <is>
          <t>DE-Mitte</t>
        </is>
      </c>
      <c r="D301" s="20" t="inlineStr">
        <is>
          <t>Trockensortiment</t>
        </is>
      </c>
      <c r="E301" s="14" t="n">
        <v>76176</v>
      </c>
      <c r="F301" s="13" t="n">
        <v>140925.6</v>
      </c>
      <c r="G301" s="12" t="n">
        <v>153.41</v>
      </c>
      <c r="H301" s="12" t="n">
        <v>105.8</v>
      </c>
      <c r="I301" s="12">
        <f>IF($H301&gt;0,$H301,IFERROR($G301/Import_Mapping!$B$7,0))</f>
        <v/>
      </c>
    </row>
    <row r="302">
      <c r="A302" s="11" t="n">
        <v>45881</v>
      </c>
      <c r="B302" s="20" t="inlineStr">
        <is>
          <t>Mainpunkt Handel</t>
        </is>
      </c>
      <c r="C302" s="20" t="inlineStr">
        <is>
          <t>DE-Mitte</t>
        </is>
      </c>
      <c r="D302" s="20" t="inlineStr">
        <is>
          <t>Aktionsware</t>
        </is>
      </c>
      <c r="E302" s="14" t="n">
        <v>9252</v>
      </c>
      <c r="F302" s="13" t="n">
        <v>57362.4</v>
      </c>
      <c r="G302" s="12" t="n">
        <v>38.55</v>
      </c>
      <c r="H302" s="12" t="n">
        <v>25.7</v>
      </c>
      <c r="I302" s="12">
        <f>IF($H302&gt;0,$H302,IFERROR($G302/Import_Mapping!$B$7,0))</f>
        <v/>
      </c>
    </row>
    <row r="303">
      <c r="A303" s="11" t="n">
        <v>45881</v>
      </c>
      <c r="B303" s="20" t="inlineStr">
        <is>
          <t>Mainpunkt Handel</t>
        </is>
      </c>
      <c r="C303" s="20" t="inlineStr">
        <is>
          <t>DE-Mitte</t>
        </is>
      </c>
      <c r="D303" s="20" t="inlineStr">
        <is>
          <t>Kuehlware</t>
        </is>
      </c>
      <c r="E303" s="14" t="n">
        <v>24864</v>
      </c>
      <c r="F303" s="13" t="n">
        <v>84537.60000000001</v>
      </c>
      <c r="G303" s="12" t="n">
        <v>67.34</v>
      </c>
      <c r="H303" s="12" t="n">
        <v>51.8</v>
      </c>
      <c r="I303" s="12">
        <f>IF($H303&gt;0,$H303,IFERROR($G303/Import_Mapping!$B$7,0))</f>
        <v/>
      </c>
    </row>
    <row r="304">
      <c r="A304" s="11" t="n">
        <v>45881</v>
      </c>
      <c r="B304" s="20" t="inlineStr">
        <is>
          <t>Spree Markt AG</t>
        </is>
      </c>
      <c r="C304" s="20" t="inlineStr">
        <is>
          <t>DE-Ost</t>
        </is>
      </c>
      <c r="D304" s="20" t="inlineStr">
        <is>
          <t>Getraenke</t>
        </is>
      </c>
      <c r="E304" s="14" t="n">
        <v>137184</v>
      </c>
      <c r="F304" s="13" t="n">
        <v>130324.8</v>
      </c>
      <c r="G304" s="12" t="n">
        <v>221.5</v>
      </c>
      <c r="H304" s="12" t="n">
        <v>142.9</v>
      </c>
      <c r="I304" s="12">
        <f>IF($H304&gt;0,$H304,IFERROR($G304/Import_Mapping!$B$7,0))</f>
        <v/>
      </c>
    </row>
    <row r="305">
      <c r="A305" s="11" t="n">
        <v>45881</v>
      </c>
      <c r="B305" s="20" t="inlineStr">
        <is>
          <t>Westfilial AG</t>
        </is>
      </c>
      <c r="C305" s="20" t="inlineStr">
        <is>
          <t>DE-West</t>
        </is>
      </c>
      <c r="D305" s="20" t="inlineStr">
        <is>
          <t>Trockensortiment</t>
        </is>
      </c>
      <c r="E305" s="14" t="n">
        <v>137448</v>
      </c>
      <c r="F305" s="13" t="n">
        <v>254278.8</v>
      </c>
      <c r="G305" s="12" t="n">
        <v>276.81</v>
      </c>
      <c r="H305" s="12" t="n">
        <v>190.9</v>
      </c>
      <c r="I305" s="12">
        <f>IF($H305&gt;0,$H305,IFERROR($G305/Import_Mapping!$B$7,0))</f>
        <v/>
      </c>
    </row>
    <row r="306">
      <c r="A306" s="11" t="n">
        <v>45882</v>
      </c>
      <c r="B306" s="20" t="inlineStr">
        <is>
          <t>Hessen Vertrieb GmbH</t>
        </is>
      </c>
      <c r="C306" s="20" t="inlineStr">
        <is>
          <t>DE-Mitte</t>
        </is>
      </c>
      <c r="D306" s="20" t="inlineStr">
        <is>
          <t>Getraenke</t>
        </is>
      </c>
      <c r="E306" s="14" t="n">
        <v>175296</v>
      </c>
      <c r="F306" s="13" t="n">
        <v>166531.2</v>
      </c>
      <c r="G306" s="12" t="n">
        <v>283.03</v>
      </c>
      <c r="H306" s="12" t="n">
        <v>182.6</v>
      </c>
      <c r="I306" s="12">
        <f>IF($H306&gt;0,$H306,IFERROR($G306/Import_Mapping!$B$7,0))</f>
        <v/>
      </c>
    </row>
    <row r="307">
      <c r="A307" s="11" t="n">
        <v>45883</v>
      </c>
      <c r="B307" s="20" t="inlineStr">
        <is>
          <t>Austria Markt GmbH</t>
        </is>
      </c>
      <c r="C307" s="20" t="inlineStr">
        <is>
          <t>AT</t>
        </is>
      </c>
      <c r="D307" s="20" t="inlineStr">
        <is>
          <t>Kuehlware</t>
        </is>
      </c>
      <c r="E307" s="14" t="n">
        <v>10224</v>
      </c>
      <c r="F307" s="13" t="n">
        <v>34761.6</v>
      </c>
      <c r="G307" s="12" t="n">
        <v>27.69</v>
      </c>
      <c r="H307" s="12" t="n">
        <v>21.3</v>
      </c>
      <c r="I307" s="12">
        <f>IF($H307&gt;0,$H307,IFERROR($G307/Import_Mapping!$B$7,0))</f>
        <v/>
      </c>
    </row>
    <row r="308">
      <c r="A308" s="11" t="n">
        <v>45883</v>
      </c>
      <c r="B308" s="20" t="inlineStr">
        <is>
          <t>Randstad Retail BV</t>
        </is>
      </c>
      <c r="C308" s="20" t="inlineStr">
        <is>
          <t>NL</t>
        </is>
      </c>
      <c r="D308" s="20" t="inlineStr">
        <is>
          <t>Aktionsware</t>
        </is>
      </c>
      <c r="E308" s="14" t="n">
        <v>5184</v>
      </c>
      <c r="F308" s="13" t="n">
        <v>32140.8</v>
      </c>
      <c r="G308" s="12" t="n">
        <v>21.6</v>
      </c>
      <c r="H308" s="12" t="n">
        <v>14.4</v>
      </c>
      <c r="I308" s="12">
        <f>IF($H308&gt;0,$H308,IFERROR($G308/Import_Mapping!$B$7,0))</f>
        <v/>
      </c>
    </row>
    <row r="309">
      <c r="A309" s="11" t="n">
        <v>45884</v>
      </c>
      <c r="B309" s="20" t="inlineStr">
        <is>
          <t>Elbe Handel GmbH</t>
        </is>
      </c>
      <c r="C309" s="20" t="inlineStr">
        <is>
          <t>DE-Nord</t>
        </is>
      </c>
      <c r="D309" s="20" t="inlineStr">
        <is>
          <t>Getraenke</t>
        </is>
      </c>
      <c r="E309" s="14" t="n">
        <v>184608</v>
      </c>
      <c r="F309" s="13" t="n">
        <v>175377.6</v>
      </c>
      <c r="G309" s="12" t="n">
        <v>298.07</v>
      </c>
      <c r="H309" s="12" t="n">
        <v>192.3</v>
      </c>
      <c r="I309" s="12">
        <f>IF($H309&gt;0,$H309,IFERROR($G309/Import_Mapping!$B$7,0))</f>
        <v/>
      </c>
    </row>
    <row r="310">
      <c r="A310" s="11" t="n">
        <v>45886</v>
      </c>
      <c r="B310" s="20" t="inlineStr">
        <is>
          <t>Spree Markt AG</t>
        </is>
      </c>
      <c r="C310" s="20" t="inlineStr">
        <is>
          <t>DE-Ost</t>
        </is>
      </c>
      <c r="D310" s="20" t="inlineStr">
        <is>
          <t>Aktionsware</t>
        </is>
      </c>
      <c r="E310" s="14" t="n">
        <v>8280</v>
      </c>
      <c r="F310" s="13" t="n">
        <v>51336</v>
      </c>
      <c r="G310" s="12" t="n">
        <v>34.5</v>
      </c>
      <c r="H310" s="12" t="n">
        <v>23</v>
      </c>
      <c r="I310" s="12">
        <f>IF($H310&gt;0,$H310,IFERROR($G310/Import_Mapping!$B$7,0))</f>
        <v/>
      </c>
    </row>
    <row r="311">
      <c r="A311" s="11" t="n">
        <v>45886</v>
      </c>
      <c r="B311" s="20" t="inlineStr">
        <is>
          <t>Ruhr Frische GmbH</t>
        </is>
      </c>
      <c r="C311" s="20" t="inlineStr">
        <is>
          <t>DE-West</t>
        </is>
      </c>
      <c r="D311" s="20" t="inlineStr">
        <is>
          <t>Getraenke</t>
        </is>
      </c>
      <c r="E311" s="14" t="n">
        <v>304992</v>
      </c>
      <c r="F311" s="13" t="n">
        <v>289742.4</v>
      </c>
      <c r="G311" s="12" t="n">
        <v>492.44</v>
      </c>
      <c r="H311" s="12" t="n">
        <v>317.7</v>
      </c>
      <c r="I311" s="12">
        <f>IF($H311&gt;0,$H311,IFERROR($G311/Import_Mapping!$B$7,0))</f>
        <v/>
      </c>
    </row>
    <row r="312">
      <c r="A312" s="11" t="n">
        <v>45887</v>
      </c>
      <c r="B312" s="20" t="inlineStr">
        <is>
          <t>Sachsen Handel GmbH</t>
        </is>
      </c>
      <c r="C312" s="20" t="inlineStr">
        <is>
          <t>DE-Ost</t>
        </is>
      </c>
      <c r="D312" s="20" t="inlineStr">
        <is>
          <t>Trockensortiment</t>
        </is>
      </c>
      <c r="E312" s="14" t="n">
        <v>62712</v>
      </c>
      <c r="F312" s="13" t="n">
        <v>116017.2</v>
      </c>
      <c r="G312" s="12" t="n">
        <v>126.29</v>
      </c>
      <c r="H312" s="12" t="n">
        <v>87.09999999999999</v>
      </c>
      <c r="I312" s="12">
        <f>IF($H312&gt;0,$H312,IFERROR($G312/Import_Mapping!$B$7,0))</f>
        <v/>
      </c>
    </row>
    <row r="313">
      <c r="A313" s="11" t="n">
        <v>45889</v>
      </c>
      <c r="B313" s="20" t="inlineStr">
        <is>
          <t>Austria Markt GmbH</t>
        </is>
      </c>
      <c r="C313" s="20" t="inlineStr">
        <is>
          <t>AT</t>
        </is>
      </c>
      <c r="D313" s="20" t="inlineStr">
        <is>
          <t>Non-Food</t>
        </is>
      </c>
      <c r="E313" s="14" t="n">
        <v>4368</v>
      </c>
      <c r="F313" s="13" t="n">
        <v>54600</v>
      </c>
      <c r="G313" s="12" t="n">
        <v>29.12</v>
      </c>
      <c r="H313" s="12" t="n">
        <v>18.2</v>
      </c>
      <c r="I313" s="12">
        <f>IF($H313&gt;0,$H313,IFERROR($G313/Import_Mapping!$B$7,0))</f>
        <v/>
      </c>
    </row>
    <row r="314">
      <c r="A314" s="11" t="n">
        <v>45889</v>
      </c>
      <c r="B314" s="20" t="inlineStr">
        <is>
          <t>Nordmarkt AG</t>
        </is>
      </c>
      <c r="C314" s="20" t="inlineStr">
        <is>
          <t>DE-Nord</t>
        </is>
      </c>
      <c r="D314" s="20" t="inlineStr">
        <is>
          <t>Non-Food</t>
        </is>
      </c>
      <c r="E314" s="14" t="n">
        <v>9792</v>
      </c>
      <c r="F314" s="13" t="n">
        <v>122400</v>
      </c>
      <c r="G314" s="12" t="n">
        <v>65.28</v>
      </c>
      <c r="H314" s="12" t="n">
        <v>40.8</v>
      </c>
      <c r="I314" s="12">
        <f>IF($H314&gt;0,$H314,IFERROR($G314/Import_Mapping!$B$7,0))</f>
        <v/>
      </c>
    </row>
    <row r="315">
      <c r="A315" s="11" t="n">
        <v>45889</v>
      </c>
      <c r="B315" s="20" t="inlineStr">
        <is>
          <t>Elbe Handel GmbH</t>
        </is>
      </c>
      <c r="C315" s="20" t="inlineStr">
        <is>
          <t>DE-Nord</t>
        </is>
      </c>
      <c r="D315" s="20" t="inlineStr">
        <is>
          <t>Trockensortiment</t>
        </is>
      </c>
      <c r="E315" s="14" t="n">
        <v>116352</v>
      </c>
      <c r="F315" s="13" t="n">
        <v>215251.2</v>
      </c>
      <c r="G315" s="12" t="n">
        <v>234.32</v>
      </c>
      <c r="H315" s="12" t="n">
        <v>161.6</v>
      </c>
      <c r="I315" s="12">
        <f>IF($H315&gt;0,$H315,IFERROR($G315/Import_Mapping!$B$7,0))</f>
        <v/>
      </c>
    </row>
    <row r="316">
      <c r="A316" s="11" t="n">
        <v>45889</v>
      </c>
      <c r="B316" s="20" t="inlineStr">
        <is>
          <t>Sachsen Handel GmbH</t>
        </is>
      </c>
      <c r="C316" s="20" t="inlineStr">
        <is>
          <t>DE-Ost</t>
        </is>
      </c>
      <c r="D316" s="20" t="inlineStr">
        <is>
          <t>Non-Food</t>
        </is>
      </c>
      <c r="E316" s="14" t="n">
        <v>6552</v>
      </c>
      <c r="F316" s="13" t="n">
        <v>81900</v>
      </c>
      <c r="G316" s="12" t="n">
        <v>43.68</v>
      </c>
      <c r="H316" s="12" t="n">
        <v>27.3</v>
      </c>
      <c r="I316" s="12">
        <f>IF($H316&gt;0,$H316,IFERROR($G316/Import_Mapping!$B$7,0))</f>
        <v/>
      </c>
    </row>
    <row r="317">
      <c r="A317" s="11" t="n">
        <v>45889</v>
      </c>
      <c r="B317" s="20" t="inlineStr">
        <is>
          <t>Alpenmarkt GmbH</t>
        </is>
      </c>
      <c r="C317" s="20" t="inlineStr">
        <is>
          <t>DE-Sued</t>
        </is>
      </c>
      <c r="D317" s="20" t="inlineStr">
        <is>
          <t>Kuehlware</t>
        </is>
      </c>
      <c r="E317" s="14" t="n">
        <v>41472</v>
      </c>
      <c r="F317" s="13" t="n">
        <v>141004.8</v>
      </c>
      <c r="G317" s="12" t="n">
        <v>112.32</v>
      </c>
      <c r="H317" s="12" t="n">
        <v>86.40000000000001</v>
      </c>
      <c r="I317" s="12">
        <f>IF($H317&gt;0,$H317,IFERROR($G317/Import_Mapping!$B$7,0))</f>
        <v/>
      </c>
    </row>
    <row r="318">
      <c r="A318" s="11" t="n">
        <v>45889</v>
      </c>
      <c r="B318" s="20" t="inlineStr">
        <is>
          <t>Delta Foods BV</t>
        </is>
      </c>
      <c r="C318" s="20" t="inlineStr">
        <is>
          <t>NL</t>
        </is>
      </c>
      <c r="D318" s="20" t="inlineStr">
        <is>
          <t>Non-Food</t>
        </is>
      </c>
      <c r="E318" s="14" t="n">
        <v>6312</v>
      </c>
      <c r="F318" s="13" t="n">
        <v>78900</v>
      </c>
      <c r="G318" s="12" t="n">
        <v>42.08</v>
      </c>
      <c r="H318" s="12" t="n">
        <v>26.3</v>
      </c>
      <c r="I318" s="12">
        <f>IF($H318&gt;0,$H318,IFERROR($G318/Import_Mapping!$B$7,0))</f>
        <v/>
      </c>
    </row>
    <row r="319">
      <c r="A319" s="11" t="n">
        <v>45890</v>
      </c>
      <c r="B319" s="20" t="inlineStr">
        <is>
          <t>Donau Handel AG</t>
        </is>
      </c>
      <c r="C319" s="20" t="inlineStr">
        <is>
          <t>DE-Sued</t>
        </is>
      </c>
      <c r="D319" s="20" t="inlineStr">
        <is>
          <t>Getraenke</t>
        </is>
      </c>
      <c r="E319" s="14" t="n">
        <v>249792</v>
      </c>
      <c r="F319" s="13" t="n">
        <v>237302.4</v>
      </c>
      <c r="G319" s="12" t="n">
        <v>403.31</v>
      </c>
      <c r="H319" s="12" t="n">
        <v>260.2</v>
      </c>
      <c r="I319" s="12">
        <f>IF($H319&gt;0,$H319,IFERROR($G319/Import_Mapping!$B$7,0))</f>
        <v/>
      </c>
    </row>
    <row r="320">
      <c r="A320" s="11" t="n">
        <v>45890</v>
      </c>
      <c r="B320" s="20" t="inlineStr">
        <is>
          <t>Westfilial AG</t>
        </is>
      </c>
      <c r="C320" s="20" t="inlineStr">
        <is>
          <t>DE-West</t>
        </is>
      </c>
      <c r="D320" s="20" t="inlineStr">
        <is>
          <t>Aktionsware</t>
        </is>
      </c>
      <c r="E320" s="14" t="n">
        <v>17460</v>
      </c>
      <c r="F320" s="13" t="n">
        <v>108252</v>
      </c>
      <c r="G320" s="12" t="n">
        <v>72.75</v>
      </c>
      <c r="H320" s="12" t="n">
        <v>48.5</v>
      </c>
      <c r="I320" s="12">
        <f>IF($H320&gt;0,$H320,IFERROR($G320/Import_Mapping!$B$7,0))</f>
        <v/>
      </c>
    </row>
    <row r="321">
      <c r="A321" s="11" t="n">
        <v>45890</v>
      </c>
      <c r="B321" s="20" t="inlineStr">
        <is>
          <t>Odra Handel Sp.</t>
        </is>
      </c>
      <c r="C321" s="20" t="inlineStr">
        <is>
          <t>PL</t>
        </is>
      </c>
      <c r="D321" s="20" t="inlineStr">
        <is>
          <t>Aktionsware</t>
        </is>
      </c>
      <c r="E321" s="14" t="n">
        <v>22212</v>
      </c>
      <c r="F321" s="13" t="n">
        <v>137714.4</v>
      </c>
      <c r="G321" s="12" t="n">
        <v>92.55</v>
      </c>
      <c r="H321" s="12" t="n">
        <v>61.7</v>
      </c>
      <c r="I321" s="12">
        <f>IF($H321&gt;0,$H321,IFERROR($G321/Import_Mapping!$B$7,0))</f>
        <v/>
      </c>
    </row>
    <row r="322">
      <c r="A322" s="11" t="n">
        <v>45893</v>
      </c>
      <c r="B322" s="20" t="inlineStr">
        <is>
          <t>Sued Filialen KG</t>
        </is>
      </c>
      <c r="C322" s="20" t="inlineStr">
        <is>
          <t>DE-Sued</t>
        </is>
      </c>
      <c r="D322" s="20" t="inlineStr">
        <is>
          <t>Non-Food</t>
        </is>
      </c>
      <c r="E322" s="14" t="n">
        <v>10728</v>
      </c>
      <c r="F322" s="13" t="n">
        <v>134100</v>
      </c>
      <c r="G322" s="12" t="n">
        <v>71.52</v>
      </c>
      <c r="H322" s="12" t="n">
        <v>44.7</v>
      </c>
      <c r="I322" s="12">
        <f>IF($H322&gt;0,$H322,IFERROR($G322/Import_Mapping!$B$7,0))</f>
        <v/>
      </c>
    </row>
    <row r="323">
      <c r="A323" s="11" t="n">
        <v>45893</v>
      </c>
      <c r="B323" s="20" t="inlineStr">
        <is>
          <t>Alpenmarkt GmbH</t>
        </is>
      </c>
      <c r="C323" s="20" t="inlineStr">
        <is>
          <t>DE-Sued</t>
        </is>
      </c>
      <c r="D323" s="20" t="inlineStr">
        <is>
          <t>Trockensortiment</t>
        </is>
      </c>
      <c r="E323" s="14" t="n">
        <v>119952</v>
      </c>
      <c r="F323" s="13" t="n">
        <v>221911.2</v>
      </c>
      <c r="G323" s="12" t="n">
        <v>241.57</v>
      </c>
      <c r="H323" s="12" t="n">
        <v>166.6</v>
      </c>
      <c r="I323" s="12">
        <f>IF($H323&gt;0,$H323,IFERROR($G323/Import_Mapping!$B$7,0))</f>
        <v/>
      </c>
    </row>
    <row r="324">
      <c r="A324" s="11" t="n">
        <v>45894</v>
      </c>
      <c r="B324" s="20" t="inlineStr">
        <is>
          <t>Nordmarkt AG</t>
        </is>
      </c>
      <c r="C324" s="20" t="inlineStr">
        <is>
          <t>DE-Nord</t>
        </is>
      </c>
      <c r="D324" s="20" t="inlineStr">
        <is>
          <t>Kuehlware</t>
        </is>
      </c>
      <c r="E324" s="14" t="n">
        <v>54336</v>
      </c>
      <c r="F324" s="13" t="n">
        <v>184742.4</v>
      </c>
      <c r="G324" s="12" t="n">
        <v>147.16</v>
      </c>
      <c r="H324" s="12" t="n">
        <v>113.2</v>
      </c>
      <c r="I324" s="12">
        <f>IF($H324&gt;0,$H324,IFERROR($G324/Import_Mapping!$B$7,0))</f>
        <v/>
      </c>
    </row>
    <row r="325">
      <c r="A325" s="11" t="n">
        <v>45901</v>
      </c>
      <c r="B325" s="20" t="inlineStr">
        <is>
          <t>Hessen Vertrieb GmbH</t>
        </is>
      </c>
      <c r="C325" s="20" t="inlineStr">
        <is>
          <t>DE-Mitte</t>
        </is>
      </c>
      <c r="D325" s="20" t="inlineStr">
        <is>
          <t>Kuehlware</t>
        </is>
      </c>
      <c r="E325" s="14" t="n">
        <v>26400</v>
      </c>
      <c r="F325" s="13" t="n">
        <v>89760</v>
      </c>
      <c r="G325" s="12" t="n">
        <v>71.5</v>
      </c>
      <c r="H325" s="12" t="n">
        <v>55</v>
      </c>
      <c r="I325" s="12">
        <f>IF($H325&gt;0,$H325,IFERROR($G325/Import_Mapping!$B$7,0))</f>
        <v/>
      </c>
    </row>
    <row r="326">
      <c r="A326" s="11" t="n">
        <v>45901</v>
      </c>
      <c r="B326" s="20" t="inlineStr">
        <is>
          <t>Odra Handel Sp.</t>
        </is>
      </c>
      <c r="C326" s="20" t="inlineStr">
        <is>
          <t>PL</t>
        </is>
      </c>
      <c r="D326" s="20" t="inlineStr">
        <is>
          <t>Getraenke</t>
        </is>
      </c>
      <c r="E326" s="14" t="n">
        <v>48192</v>
      </c>
      <c r="F326" s="13" t="n">
        <v>45782.4</v>
      </c>
      <c r="G326" s="12" t="n">
        <v>77.81</v>
      </c>
      <c r="H326" s="12" t="n">
        <v>50.2</v>
      </c>
      <c r="I326" s="12">
        <f>IF($H326&gt;0,$H326,IFERROR($G326/Import_Mapping!$B$7,0))</f>
        <v/>
      </c>
    </row>
    <row r="327">
      <c r="A327" s="11" t="n">
        <v>45902</v>
      </c>
      <c r="B327" s="20" t="inlineStr">
        <is>
          <t>Donau Handel AG</t>
        </is>
      </c>
      <c r="C327" s="20" t="inlineStr">
        <is>
          <t>DE-Sued</t>
        </is>
      </c>
      <c r="D327" s="20" t="inlineStr">
        <is>
          <t>Getraenke</t>
        </is>
      </c>
      <c r="E327" s="14" t="n">
        <v>218208</v>
      </c>
      <c r="F327" s="13" t="n">
        <v>207297.6</v>
      </c>
      <c r="G327" s="12" t="n">
        <v>352.32</v>
      </c>
      <c r="H327" s="12" t="n">
        <v>227.3</v>
      </c>
      <c r="I327" s="12">
        <f>IF($H327&gt;0,$H327,IFERROR($G327/Import_Mapping!$B$7,0))</f>
        <v/>
      </c>
    </row>
    <row r="328">
      <c r="A328" s="11" t="n">
        <v>45902</v>
      </c>
      <c r="B328" s="20" t="inlineStr">
        <is>
          <t>Delta Foods BV</t>
        </is>
      </c>
      <c r="C328" s="20" t="inlineStr">
        <is>
          <t>NL</t>
        </is>
      </c>
      <c r="D328" s="20" t="inlineStr">
        <is>
          <t>Trockensortiment</t>
        </is>
      </c>
      <c r="E328" s="14" t="n">
        <v>45144</v>
      </c>
      <c r="F328" s="13" t="n">
        <v>83516.39999999999</v>
      </c>
      <c r="G328" s="12" t="n">
        <v>90.92</v>
      </c>
      <c r="H328" s="12" t="n">
        <v>62.7</v>
      </c>
      <c r="I328" s="12">
        <f>IF($H328&gt;0,$H328,IFERROR($G328/Import_Mapping!$B$7,0))</f>
        <v/>
      </c>
    </row>
    <row r="329">
      <c r="A329" s="11" t="n">
        <v>45903</v>
      </c>
      <c r="B329" s="20" t="inlineStr">
        <is>
          <t>Kuestenlager KG</t>
        </is>
      </c>
      <c r="C329" s="20" t="inlineStr">
        <is>
          <t>DE-Nord</t>
        </is>
      </c>
      <c r="D329" s="20" t="inlineStr">
        <is>
          <t>Kuehlware</t>
        </is>
      </c>
      <c r="E329" s="14" t="n">
        <v>42912</v>
      </c>
      <c r="F329" s="13" t="n">
        <v>145900.8</v>
      </c>
      <c r="G329" s="12" t="n">
        <v>116.22</v>
      </c>
      <c r="H329" s="12" t="n">
        <v>89.40000000000001</v>
      </c>
      <c r="I329" s="12">
        <f>IF($H329&gt;0,$H329,IFERROR($G329/Import_Mapping!$B$7,0))</f>
        <v/>
      </c>
    </row>
    <row r="330">
      <c r="A330" s="11" t="n">
        <v>45903</v>
      </c>
      <c r="B330" s="20" t="inlineStr">
        <is>
          <t>Wisla Retail Sp.</t>
        </is>
      </c>
      <c r="C330" s="20" t="inlineStr">
        <is>
          <t>PL</t>
        </is>
      </c>
      <c r="D330" s="20" t="inlineStr">
        <is>
          <t>Non-Food</t>
        </is>
      </c>
      <c r="E330" s="14" t="n">
        <v>9744</v>
      </c>
      <c r="F330" s="13" t="n">
        <v>121800</v>
      </c>
      <c r="G330" s="12" t="n">
        <v>64.95999999999999</v>
      </c>
      <c r="H330" s="12" t="n">
        <v>40.6</v>
      </c>
      <c r="I330" s="12">
        <f>IF($H330&gt;0,$H330,IFERROR($G330/Import_Mapping!$B$7,0))</f>
        <v/>
      </c>
    </row>
    <row r="331">
      <c r="A331" s="11" t="n">
        <v>45904</v>
      </c>
      <c r="B331" s="20" t="inlineStr">
        <is>
          <t>Alpenmarkt GmbH</t>
        </is>
      </c>
      <c r="C331" s="20" t="inlineStr">
        <is>
          <t>DE-Sued</t>
        </is>
      </c>
      <c r="D331" s="20" t="inlineStr">
        <is>
          <t>Aktionsware</t>
        </is>
      </c>
      <c r="E331" s="14" t="n">
        <v>17244</v>
      </c>
      <c r="F331" s="13" t="n">
        <v>106912.8</v>
      </c>
      <c r="G331" s="12" t="n">
        <v>71.84999999999999</v>
      </c>
      <c r="H331" s="12" t="n">
        <v>47.9</v>
      </c>
      <c r="I331" s="12">
        <f>IF($H331&gt;0,$H331,IFERROR($G331/Import_Mapping!$B$7,0))</f>
        <v/>
      </c>
    </row>
    <row r="332">
      <c r="A332" s="11" t="n">
        <v>45904</v>
      </c>
      <c r="B332" s="20" t="inlineStr">
        <is>
          <t>Alpenmarkt GmbH</t>
        </is>
      </c>
      <c r="C332" s="20" t="inlineStr">
        <is>
          <t>DE-Sued</t>
        </is>
      </c>
      <c r="D332" s="20" t="inlineStr">
        <is>
          <t>Non-Food</t>
        </is>
      </c>
      <c r="E332" s="14" t="n">
        <v>11280</v>
      </c>
      <c r="F332" s="13" t="n">
        <v>141000</v>
      </c>
      <c r="G332" s="12" t="n">
        <v>75.2</v>
      </c>
      <c r="H332" s="12" t="n">
        <v>47</v>
      </c>
      <c r="I332" s="12">
        <f>IF($H332&gt;0,$H332,IFERROR($G332/Import_Mapping!$B$7,0))</f>
        <v/>
      </c>
    </row>
    <row r="333">
      <c r="A333" s="11" t="n">
        <v>45905</v>
      </c>
      <c r="B333" s="20" t="inlineStr">
        <is>
          <t>Austria Markt GmbH</t>
        </is>
      </c>
      <c r="C333" s="20" t="inlineStr">
        <is>
          <t>AT</t>
        </is>
      </c>
      <c r="D333" s="20" t="inlineStr">
        <is>
          <t>Trockensortiment</t>
        </is>
      </c>
      <c r="E333" s="14" t="n">
        <v>32616</v>
      </c>
      <c r="F333" s="13" t="n">
        <v>60339.6</v>
      </c>
      <c r="G333" s="12" t="n">
        <v>65.68000000000001</v>
      </c>
      <c r="H333" s="12" t="n">
        <v>45.3</v>
      </c>
      <c r="I333" s="12">
        <f>IF($H333&gt;0,$H333,IFERROR($G333/Import_Mapping!$B$7,0))</f>
        <v/>
      </c>
    </row>
    <row r="334">
      <c r="A334" s="11" t="n">
        <v>45905</v>
      </c>
      <c r="B334" s="20" t="inlineStr">
        <is>
          <t>Westfilial AG</t>
        </is>
      </c>
      <c r="C334" s="20" t="inlineStr">
        <is>
          <t>DE-West</t>
        </is>
      </c>
      <c r="D334" s="20" t="inlineStr">
        <is>
          <t>Aktionsware</t>
        </is>
      </c>
      <c r="E334" s="14" t="n">
        <v>16848</v>
      </c>
      <c r="F334" s="13" t="n">
        <v>104457.6</v>
      </c>
      <c r="G334" s="12" t="n">
        <v>70.2</v>
      </c>
      <c r="H334" s="12" t="n">
        <v>46.8</v>
      </c>
      <c r="I334" s="12">
        <f>IF($H334&gt;0,$H334,IFERROR($G334/Import_Mapping!$B$7,0))</f>
        <v/>
      </c>
    </row>
    <row r="335">
      <c r="A335" s="11" t="n">
        <v>45905</v>
      </c>
      <c r="B335" s="20" t="inlineStr">
        <is>
          <t>Ruhr Frische GmbH</t>
        </is>
      </c>
      <c r="C335" s="20" t="inlineStr">
        <is>
          <t>DE-West</t>
        </is>
      </c>
      <c r="D335" s="20" t="inlineStr">
        <is>
          <t>Kuehlware</t>
        </is>
      </c>
      <c r="E335" s="14" t="n">
        <v>43008</v>
      </c>
      <c r="F335" s="13" t="n">
        <v>146227.2</v>
      </c>
      <c r="G335" s="12" t="n">
        <v>116.48</v>
      </c>
      <c r="H335" s="12" t="n">
        <v>89.59999999999999</v>
      </c>
      <c r="I335" s="12">
        <f>IF($H335&gt;0,$H335,IFERROR($G335/Import_Mapping!$B$7,0))</f>
        <v/>
      </c>
    </row>
    <row r="336">
      <c r="A336" s="11" t="n">
        <v>45905</v>
      </c>
      <c r="B336" s="20" t="inlineStr">
        <is>
          <t>Odra Handel Sp.</t>
        </is>
      </c>
      <c r="C336" s="20" t="inlineStr">
        <is>
          <t>PL</t>
        </is>
      </c>
      <c r="D336" s="20" t="inlineStr">
        <is>
          <t>Aktionsware</t>
        </is>
      </c>
      <c r="E336" s="14" t="n">
        <v>21996</v>
      </c>
      <c r="F336" s="13" t="n">
        <v>136375.2</v>
      </c>
      <c r="G336" s="12" t="n">
        <v>91.65000000000001</v>
      </c>
      <c r="H336" s="12" t="n">
        <v>61.1</v>
      </c>
      <c r="I336" s="12">
        <f>IF($H336&gt;0,$H336,IFERROR($G336/Import_Mapping!$B$7,0))</f>
        <v/>
      </c>
    </row>
    <row r="337">
      <c r="A337" s="11" t="n">
        <v>45907</v>
      </c>
      <c r="B337" s="20" t="inlineStr">
        <is>
          <t>Westfilial AG</t>
        </is>
      </c>
      <c r="C337" s="20" t="inlineStr">
        <is>
          <t>DE-West</t>
        </is>
      </c>
      <c r="D337" s="20" t="inlineStr">
        <is>
          <t>Non-Food</t>
        </is>
      </c>
      <c r="E337" s="14" t="n">
        <v>15216</v>
      </c>
      <c r="F337" s="13" t="n">
        <v>190200</v>
      </c>
      <c r="G337" s="12" t="n">
        <v>101.44</v>
      </c>
      <c r="H337" s="12" t="n">
        <v>63.4</v>
      </c>
      <c r="I337" s="12">
        <f>IF($H337&gt;0,$H337,IFERROR($G337/Import_Mapping!$B$7,0))</f>
        <v/>
      </c>
    </row>
    <row r="338">
      <c r="A338" s="11" t="n">
        <v>45908</v>
      </c>
      <c r="B338" s="20" t="inlineStr">
        <is>
          <t>Kuestenlager KG</t>
        </is>
      </c>
      <c r="C338" s="20" t="inlineStr">
        <is>
          <t>DE-Nord</t>
        </is>
      </c>
      <c r="D338" s="20" t="inlineStr">
        <is>
          <t>Getraenke</t>
        </is>
      </c>
      <c r="E338" s="14" t="n">
        <v>173952</v>
      </c>
      <c r="F338" s="13" t="n">
        <v>165254.4</v>
      </c>
      <c r="G338" s="12" t="n">
        <v>280.86</v>
      </c>
      <c r="H338" s="12" t="n">
        <v>181.2</v>
      </c>
      <c r="I338" s="12">
        <f>IF($H338&gt;0,$H338,IFERROR($G338/Import_Mapping!$B$7,0))</f>
        <v/>
      </c>
    </row>
    <row r="339">
      <c r="A339" s="11" t="n">
        <v>45908</v>
      </c>
      <c r="B339" s="20" t="inlineStr">
        <is>
          <t>Nordmarkt AG</t>
        </is>
      </c>
      <c r="C339" s="20" t="inlineStr">
        <is>
          <t>DE-Nord</t>
        </is>
      </c>
      <c r="D339" s="20" t="inlineStr">
        <is>
          <t>Non-Food</t>
        </is>
      </c>
      <c r="E339" s="14" t="n">
        <v>10584</v>
      </c>
      <c r="F339" s="13" t="n">
        <v>132300</v>
      </c>
      <c r="G339" s="12" t="n">
        <v>70.56</v>
      </c>
      <c r="H339" s="12" t="n">
        <v>44.1</v>
      </c>
      <c r="I339" s="12">
        <f>IF($H339&gt;0,$H339,IFERROR($G339/Import_Mapping!$B$7,0))</f>
        <v/>
      </c>
    </row>
    <row r="340">
      <c r="A340" s="11" t="n">
        <v>45908</v>
      </c>
      <c r="B340" s="20" t="inlineStr">
        <is>
          <t>Delta Foods BV</t>
        </is>
      </c>
      <c r="C340" s="20" t="inlineStr">
        <is>
          <t>NL</t>
        </is>
      </c>
      <c r="D340" s="20" t="inlineStr">
        <is>
          <t>Non-Food</t>
        </is>
      </c>
      <c r="E340" s="14" t="n">
        <v>5592</v>
      </c>
      <c r="F340" s="13" t="n">
        <v>69900</v>
      </c>
      <c r="G340" s="12" t="n">
        <v>37.28</v>
      </c>
      <c r="H340" s="12" t="n">
        <v>23.3</v>
      </c>
      <c r="I340" s="12">
        <f>IF($H340&gt;0,$H340,IFERROR($G340/Import_Mapping!$B$7,0))</f>
        <v/>
      </c>
    </row>
    <row r="341">
      <c r="A341" s="11" t="n">
        <v>45911</v>
      </c>
      <c r="B341" s="20" t="inlineStr">
        <is>
          <t>Tirol Handel AG</t>
        </is>
      </c>
      <c r="C341" s="20" t="inlineStr">
        <is>
          <t>AT</t>
        </is>
      </c>
      <c r="D341" s="20" t="inlineStr">
        <is>
          <t>Aktionsware</t>
        </is>
      </c>
      <c r="E341" s="14" t="n">
        <v>4896</v>
      </c>
      <c r="F341" s="13" t="n">
        <v>30355.2</v>
      </c>
      <c r="G341" s="12" t="n">
        <v>20.4</v>
      </c>
      <c r="H341" s="12" t="n">
        <v>13.6</v>
      </c>
      <c r="I341" s="12">
        <f>IF($H341&gt;0,$H341,IFERROR($G341/Import_Mapping!$B$7,0))</f>
        <v/>
      </c>
    </row>
    <row r="342">
      <c r="A342" s="11" t="n">
        <v>45911</v>
      </c>
      <c r="B342" s="20" t="inlineStr">
        <is>
          <t>Delta Foods BV</t>
        </is>
      </c>
      <c r="C342" s="20" t="inlineStr">
        <is>
          <t>NL</t>
        </is>
      </c>
      <c r="D342" s="20" t="inlineStr">
        <is>
          <t>Getraenke</t>
        </is>
      </c>
      <c r="E342" s="14" t="n">
        <v>62112</v>
      </c>
      <c r="F342" s="13" t="n">
        <v>59006.4</v>
      </c>
      <c r="G342" s="12" t="n">
        <v>100.29</v>
      </c>
      <c r="H342" s="12" t="n">
        <v>64.7</v>
      </c>
      <c r="I342" s="12">
        <f>IF($H342&gt;0,$H342,IFERROR($G342/Import_Mapping!$B$7,0))</f>
        <v/>
      </c>
    </row>
    <row r="343">
      <c r="A343" s="11" t="n">
        <v>45913</v>
      </c>
      <c r="B343" s="20" t="inlineStr">
        <is>
          <t>Mainpunkt Handel</t>
        </is>
      </c>
      <c r="C343" s="20" t="inlineStr">
        <is>
          <t>DE-Mitte</t>
        </is>
      </c>
      <c r="D343" s="20" t="inlineStr">
        <is>
          <t>Trockensortiment</t>
        </is>
      </c>
      <c r="E343" s="14" t="n">
        <v>84456</v>
      </c>
      <c r="F343" s="13" t="n">
        <v>156243.6</v>
      </c>
      <c r="G343" s="12" t="n">
        <v>170.08</v>
      </c>
      <c r="H343" s="12" t="n">
        <v>117.3</v>
      </c>
      <c r="I343" s="12">
        <f>IF($H343&gt;0,$H343,IFERROR($G343/Import_Mapping!$B$7,0))</f>
        <v/>
      </c>
    </row>
    <row r="344">
      <c r="A344" s="11" t="n">
        <v>45913</v>
      </c>
      <c r="B344" s="20" t="inlineStr">
        <is>
          <t>Sachsen Handel GmbH</t>
        </is>
      </c>
      <c r="C344" s="20" t="inlineStr">
        <is>
          <t>DE-Ost</t>
        </is>
      </c>
      <c r="D344" s="20" t="inlineStr">
        <is>
          <t>Trockensortiment</t>
        </is>
      </c>
      <c r="E344" s="14" t="n">
        <v>66744</v>
      </c>
      <c r="F344" s="13" t="n">
        <v>123476.4</v>
      </c>
      <c r="G344" s="12" t="n">
        <v>134.41</v>
      </c>
      <c r="H344" s="12" t="n">
        <v>92.7</v>
      </c>
      <c r="I344" s="12">
        <f>IF($H344&gt;0,$H344,IFERROR($G344/Import_Mapping!$B$7,0))</f>
        <v/>
      </c>
    </row>
    <row r="345">
      <c r="A345" s="11" t="n">
        <v>45913</v>
      </c>
      <c r="B345" s="20" t="inlineStr">
        <is>
          <t>Westfilial AG</t>
        </is>
      </c>
      <c r="C345" s="20" t="inlineStr">
        <is>
          <t>DE-West</t>
        </is>
      </c>
      <c r="D345" s="20" t="inlineStr">
        <is>
          <t>Trockensortiment</t>
        </is>
      </c>
      <c r="E345" s="14" t="n">
        <v>149256</v>
      </c>
      <c r="F345" s="13" t="n">
        <v>276123.6</v>
      </c>
      <c r="G345" s="12" t="n">
        <v>300.58</v>
      </c>
      <c r="H345" s="12" t="n">
        <v>207.3</v>
      </c>
      <c r="I345" s="12">
        <f>IF($H345&gt;0,$H345,IFERROR($G345/Import_Mapping!$B$7,0))</f>
        <v/>
      </c>
    </row>
    <row r="346">
      <c r="A346" s="11" t="n">
        <v>45913</v>
      </c>
      <c r="B346" s="20" t="inlineStr">
        <is>
          <t>Randstad Retail BV</t>
        </is>
      </c>
      <c r="C346" s="20" t="inlineStr">
        <is>
          <t>NL</t>
        </is>
      </c>
      <c r="D346" s="20" t="inlineStr">
        <is>
          <t>Aktionsware</t>
        </is>
      </c>
      <c r="E346" s="14" t="n">
        <v>6300</v>
      </c>
      <c r="F346" s="13" t="n">
        <v>39060</v>
      </c>
      <c r="G346" s="12" t="n">
        <v>26.25</v>
      </c>
      <c r="H346" s="12" t="n">
        <v>17.5</v>
      </c>
      <c r="I346" s="12">
        <f>IF($H346&gt;0,$H346,IFERROR($G346/Import_Mapping!$B$7,0))</f>
        <v/>
      </c>
    </row>
    <row r="347">
      <c r="A347" s="11" t="n">
        <v>45914</v>
      </c>
      <c r="B347" s="20" t="inlineStr">
        <is>
          <t>Tirol Handel AG</t>
        </is>
      </c>
      <c r="C347" s="20" t="inlineStr">
        <is>
          <t>AT</t>
        </is>
      </c>
      <c r="D347" s="20" t="inlineStr">
        <is>
          <t>Kuehlware</t>
        </is>
      </c>
      <c r="E347" s="14" t="n">
        <v>10320</v>
      </c>
      <c r="F347" s="13" t="n">
        <v>35088</v>
      </c>
      <c r="G347" s="12" t="n">
        <v>27.95</v>
      </c>
      <c r="H347" s="12" t="n">
        <v>21.5</v>
      </c>
      <c r="I347" s="12">
        <f>IF($H347&gt;0,$H347,IFERROR($G347/Import_Mapping!$B$7,0))</f>
        <v/>
      </c>
    </row>
    <row r="348">
      <c r="A348" s="11" t="n">
        <v>45914</v>
      </c>
      <c r="B348" s="20" t="inlineStr">
        <is>
          <t>Sued Filialen KG</t>
        </is>
      </c>
      <c r="C348" s="20" t="inlineStr">
        <is>
          <t>DE-Sued</t>
        </is>
      </c>
      <c r="D348" s="20" t="inlineStr">
        <is>
          <t>Trockensortiment</t>
        </is>
      </c>
      <c r="E348" s="14" t="n">
        <v>128520</v>
      </c>
      <c r="F348" s="13" t="n">
        <v>237762</v>
      </c>
      <c r="G348" s="12" t="n">
        <v>258.82</v>
      </c>
      <c r="H348" s="12" t="n">
        <v>178.5</v>
      </c>
      <c r="I348" s="12">
        <f>IF($H348&gt;0,$H348,IFERROR($G348/Import_Mapping!$B$7,0))</f>
        <v/>
      </c>
    </row>
    <row r="349">
      <c r="A349" s="11" t="n">
        <v>45914</v>
      </c>
      <c r="B349" s="20" t="inlineStr">
        <is>
          <t>Ruhr Frische GmbH</t>
        </is>
      </c>
      <c r="C349" s="20" t="inlineStr">
        <is>
          <t>DE-West</t>
        </is>
      </c>
      <c r="D349" s="20" t="inlineStr">
        <is>
          <t>Getraenke</t>
        </is>
      </c>
      <c r="E349" s="14" t="n">
        <v>241728</v>
      </c>
      <c r="F349" s="13" t="n">
        <v>229641.6</v>
      </c>
      <c r="G349" s="12" t="n">
        <v>390.29</v>
      </c>
      <c r="H349" s="12" t="n">
        <v>251.8</v>
      </c>
      <c r="I349" s="12">
        <f>IF($H349&gt;0,$H349,IFERROR($G349/Import_Mapping!$B$7,0))</f>
        <v/>
      </c>
    </row>
    <row r="350">
      <c r="A350" s="11" t="n">
        <v>45915</v>
      </c>
      <c r="B350" s="20" t="inlineStr">
        <is>
          <t>Spree Markt AG</t>
        </is>
      </c>
      <c r="C350" s="20" t="inlineStr">
        <is>
          <t>DE-Ost</t>
        </is>
      </c>
      <c r="D350" s="20" t="inlineStr">
        <is>
          <t>Non-Food</t>
        </is>
      </c>
      <c r="E350" s="14" t="n">
        <v>6624</v>
      </c>
      <c r="F350" s="13" t="n">
        <v>82800</v>
      </c>
      <c r="G350" s="12" t="n">
        <v>44.16</v>
      </c>
      <c r="H350" s="12" t="n">
        <v>27.6</v>
      </c>
      <c r="I350" s="12">
        <f>IF($H350&gt;0,$H350,IFERROR($G350/Import_Mapping!$B$7,0))</f>
        <v/>
      </c>
    </row>
    <row r="351">
      <c r="A351" s="11" t="n">
        <v>45917</v>
      </c>
      <c r="B351" s="20" t="inlineStr">
        <is>
          <t>Tirol Handel AG</t>
        </is>
      </c>
      <c r="C351" s="20" t="inlineStr">
        <is>
          <t>AT</t>
        </is>
      </c>
      <c r="D351" s="20" t="inlineStr">
        <is>
          <t>Non-Food</t>
        </is>
      </c>
      <c r="E351" s="14" t="n">
        <v>3744</v>
      </c>
      <c r="F351" s="13" t="n">
        <v>46800</v>
      </c>
      <c r="G351" s="12" t="n">
        <v>24.96</v>
      </c>
      <c r="H351" s="12" t="n">
        <v>15.6</v>
      </c>
      <c r="I351" s="12">
        <f>IF($H351&gt;0,$H351,IFERROR($G351/Import_Mapping!$B$7,0))</f>
        <v/>
      </c>
    </row>
    <row r="352">
      <c r="A352" s="11" t="n">
        <v>45917</v>
      </c>
      <c r="B352" s="20" t="inlineStr">
        <is>
          <t>Elbe Handel GmbH</t>
        </is>
      </c>
      <c r="C352" s="20" t="inlineStr">
        <is>
          <t>DE-Nord</t>
        </is>
      </c>
      <c r="D352" s="20" t="inlineStr">
        <is>
          <t>Trockensortiment</t>
        </is>
      </c>
      <c r="E352" s="14" t="n">
        <v>110736</v>
      </c>
      <c r="F352" s="13" t="n">
        <v>204861.6</v>
      </c>
      <c r="G352" s="12" t="n">
        <v>223.01</v>
      </c>
      <c r="H352" s="12" t="n">
        <v>153.8</v>
      </c>
      <c r="I352" s="12">
        <f>IF($H352&gt;0,$H352,IFERROR($G352/Import_Mapping!$B$7,0))</f>
        <v/>
      </c>
    </row>
    <row r="353">
      <c r="A353" s="11" t="n">
        <v>45917</v>
      </c>
      <c r="B353" s="20" t="inlineStr">
        <is>
          <t>Sachsen Handel GmbH</t>
        </is>
      </c>
      <c r="C353" s="20" t="inlineStr">
        <is>
          <t>DE-Ost</t>
        </is>
      </c>
      <c r="D353" s="20" t="inlineStr">
        <is>
          <t>Aktionsware</t>
        </is>
      </c>
      <c r="E353" s="14" t="n">
        <v>11448</v>
      </c>
      <c r="F353" s="13" t="n">
        <v>70977.60000000001</v>
      </c>
      <c r="G353" s="12" t="n">
        <v>47.7</v>
      </c>
      <c r="H353" s="12" t="n">
        <v>31.8</v>
      </c>
      <c r="I353" s="12">
        <f>IF($H353&gt;0,$H353,IFERROR($G353/Import_Mapping!$B$7,0))</f>
        <v/>
      </c>
    </row>
    <row r="354">
      <c r="A354" s="11" t="n">
        <v>45918</v>
      </c>
      <c r="B354" s="20" t="inlineStr">
        <is>
          <t>Randstad Retail BV</t>
        </is>
      </c>
      <c r="C354" s="20" t="inlineStr">
        <is>
          <t>NL</t>
        </is>
      </c>
      <c r="D354" s="20" t="inlineStr">
        <is>
          <t>Kuehlware</t>
        </is>
      </c>
      <c r="E354" s="14" t="n">
        <v>20832</v>
      </c>
      <c r="F354" s="13" t="n">
        <v>70828.8</v>
      </c>
      <c r="G354" s="12" t="n">
        <v>56.42</v>
      </c>
      <c r="H354" s="12" t="n">
        <v>43.4</v>
      </c>
      <c r="I354" s="12">
        <f>IF($H354&gt;0,$H354,IFERROR($G354/Import_Mapping!$B$7,0))</f>
        <v/>
      </c>
    </row>
    <row r="355">
      <c r="A355" s="11" t="n">
        <v>45919</v>
      </c>
      <c r="B355" s="20" t="inlineStr">
        <is>
          <t>Austria Markt GmbH</t>
        </is>
      </c>
      <c r="C355" s="20" t="inlineStr">
        <is>
          <t>AT</t>
        </is>
      </c>
      <c r="D355" s="20" t="inlineStr">
        <is>
          <t>Getraenke</t>
        </is>
      </c>
      <c r="E355" s="14" t="n">
        <v>75168</v>
      </c>
      <c r="F355" s="13" t="n">
        <v>71409.60000000001</v>
      </c>
      <c r="G355" s="12" t="n">
        <v>121.36</v>
      </c>
      <c r="H355" s="12" t="n">
        <v>78.3</v>
      </c>
      <c r="I355" s="12">
        <f>IF($H355&gt;0,$H355,IFERROR($G355/Import_Mapping!$B$7,0))</f>
        <v/>
      </c>
    </row>
    <row r="356">
      <c r="A356" s="11" t="n">
        <v>45919</v>
      </c>
      <c r="B356" s="20" t="inlineStr">
        <is>
          <t>Mainpunkt Handel</t>
        </is>
      </c>
      <c r="C356" s="20" t="inlineStr">
        <is>
          <t>DE-Mitte</t>
        </is>
      </c>
      <c r="D356" s="20" t="inlineStr">
        <is>
          <t>Getraenke</t>
        </is>
      </c>
      <c r="E356" s="14" t="n">
        <v>156960</v>
      </c>
      <c r="F356" s="13" t="n">
        <v>149112</v>
      </c>
      <c r="G356" s="12" t="n">
        <v>253.43</v>
      </c>
      <c r="H356" s="12" t="n">
        <v>163.5</v>
      </c>
      <c r="I356" s="12">
        <f>IF($H356&gt;0,$H356,IFERROR($G356/Import_Mapping!$B$7,0))</f>
        <v/>
      </c>
    </row>
    <row r="357">
      <c r="A357" s="11" t="n">
        <v>45919</v>
      </c>
      <c r="B357" s="20" t="inlineStr">
        <is>
          <t>Wisla Retail Sp.</t>
        </is>
      </c>
      <c r="C357" s="20" t="inlineStr">
        <is>
          <t>PL</t>
        </is>
      </c>
      <c r="D357" s="20" t="inlineStr">
        <is>
          <t>Kuehlware</t>
        </is>
      </c>
      <c r="E357" s="14" t="n">
        <v>6960</v>
      </c>
      <c r="F357" s="13" t="n">
        <v>23664</v>
      </c>
      <c r="G357" s="12" t="n">
        <v>18.85</v>
      </c>
      <c r="H357" s="12" t="n">
        <v>14.5</v>
      </c>
      <c r="I357" s="12">
        <f>IF($H357&gt;0,$H357,IFERROR($G357/Import_Mapping!$B$7,0))</f>
        <v/>
      </c>
    </row>
    <row r="358">
      <c r="A358" s="11" t="n">
        <v>45920</v>
      </c>
      <c r="B358" s="20" t="inlineStr">
        <is>
          <t>Nordmarkt AG</t>
        </is>
      </c>
      <c r="C358" s="20" t="inlineStr">
        <is>
          <t>DE-Nord</t>
        </is>
      </c>
      <c r="D358" s="20" t="inlineStr">
        <is>
          <t>Aktionsware</t>
        </is>
      </c>
      <c r="E358" s="14" t="n">
        <v>12204</v>
      </c>
      <c r="F358" s="13" t="n">
        <v>75664.8</v>
      </c>
      <c r="G358" s="12" t="n">
        <v>50.85</v>
      </c>
      <c r="H358" s="12" t="n">
        <v>33.9</v>
      </c>
      <c r="I358" s="12">
        <f>IF($H358&gt;0,$H358,IFERROR($G358/Import_Mapping!$B$7,0))</f>
        <v/>
      </c>
    </row>
    <row r="359">
      <c r="A359" s="11" t="n">
        <v>45920</v>
      </c>
      <c r="B359" s="20" t="inlineStr">
        <is>
          <t>Spree Markt AG</t>
        </is>
      </c>
      <c r="C359" s="20" t="inlineStr">
        <is>
          <t>DE-Ost</t>
        </is>
      </c>
      <c r="D359" s="20" t="inlineStr">
        <is>
          <t>Getraenke</t>
        </is>
      </c>
      <c r="E359" s="14" t="n">
        <v>137376</v>
      </c>
      <c r="F359" s="13" t="n">
        <v>130507.2</v>
      </c>
      <c r="G359" s="12" t="n">
        <v>221.81</v>
      </c>
      <c r="H359" s="12" t="n">
        <v>143.1</v>
      </c>
      <c r="I359" s="12">
        <f>IF($H359&gt;0,$H359,IFERROR($G359/Import_Mapping!$B$7,0))</f>
        <v/>
      </c>
    </row>
    <row r="360">
      <c r="A360" s="11" t="n">
        <v>45923</v>
      </c>
      <c r="B360" s="20" t="inlineStr">
        <is>
          <t>Mainpunkt Handel</t>
        </is>
      </c>
      <c r="C360" s="20" t="inlineStr">
        <is>
          <t>DE-Mitte</t>
        </is>
      </c>
      <c r="D360" s="20" t="inlineStr">
        <is>
          <t>Non-Food</t>
        </is>
      </c>
      <c r="E360" s="14" t="n">
        <v>8760</v>
      </c>
      <c r="F360" s="13" t="n">
        <v>109500</v>
      </c>
      <c r="G360" s="12" t="n">
        <v>58.4</v>
      </c>
      <c r="H360" s="12" t="n">
        <v>36.5</v>
      </c>
      <c r="I360" s="12">
        <f>IF($H360&gt;0,$H360,IFERROR($G360/Import_Mapping!$B$7,0))</f>
        <v/>
      </c>
    </row>
    <row r="361">
      <c r="A361" s="11" t="n">
        <v>45924</v>
      </c>
      <c r="B361" s="20" t="inlineStr">
        <is>
          <t>Spree Markt AG</t>
        </is>
      </c>
      <c r="C361" s="20" t="inlineStr">
        <is>
          <t>DE-Ost</t>
        </is>
      </c>
      <c r="D361" s="20" t="inlineStr">
        <is>
          <t>Kuehlware</t>
        </is>
      </c>
      <c r="E361" s="14" t="n">
        <v>22032</v>
      </c>
      <c r="F361" s="13" t="n">
        <v>74908.8</v>
      </c>
      <c r="G361" s="12" t="n">
        <v>59.67</v>
      </c>
      <c r="H361" s="12" t="n">
        <v>45.9</v>
      </c>
      <c r="I361" s="12">
        <f>IF($H361&gt;0,$H361,IFERROR($G361/Import_Mapping!$B$7,0))</f>
        <v/>
      </c>
    </row>
    <row r="362">
      <c r="A362" s="11" t="n">
        <v>45924</v>
      </c>
      <c r="B362" s="20" t="inlineStr">
        <is>
          <t>Wisla Retail Sp.</t>
        </is>
      </c>
      <c r="C362" s="20" t="inlineStr">
        <is>
          <t>PL</t>
        </is>
      </c>
      <c r="D362" s="20" t="inlineStr">
        <is>
          <t>Trockensortiment</t>
        </is>
      </c>
      <c r="E362" s="14" t="n">
        <v>25992</v>
      </c>
      <c r="F362" s="13" t="n">
        <v>48085.2</v>
      </c>
      <c r="G362" s="12" t="n">
        <v>52.34</v>
      </c>
      <c r="H362" s="12" t="n">
        <v>36.1</v>
      </c>
      <c r="I362" s="12">
        <f>IF($H362&gt;0,$H362,IFERROR($G362/Import_Mapping!$B$7,0))</f>
        <v/>
      </c>
    </row>
    <row r="363">
      <c r="A363" s="11" t="n">
        <v>45925</v>
      </c>
      <c r="B363" s="20" t="inlineStr">
        <is>
          <t>Hessen Vertrieb GmbH</t>
        </is>
      </c>
      <c r="C363" s="20" t="inlineStr">
        <is>
          <t>DE-Mitte</t>
        </is>
      </c>
      <c r="D363" s="20" t="inlineStr">
        <is>
          <t>Aktionsware</t>
        </is>
      </c>
      <c r="E363" s="14" t="n">
        <v>10980</v>
      </c>
      <c r="F363" s="13" t="n">
        <v>68076</v>
      </c>
      <c r="G363" s="12" t="n">
        <v>45.75</v>
      </c>
      <c r="H363" s="12" t="n">
        <v>30.5</v>
      </c>
      <c r="I363" s="12">
        <f>IF($H363&gt;0,$H363,IFERROR($G363/Import_Mapping!$B$7,0))</f>
        <v/>
      </c>
    </row>
    <row r="364">
      <c r="A364" s="11" t="n">
        <v>45925</v>
      </c>
      <c r="B364" s="20" t="inlineStr">
        <is>
          <t>Donau Handel AG</t>
        </is>
      </c>
      <c r="C364" s="20" t="inlineStr">
        <is>
          <t>DE-Sued</t>
        </is>
      </c>
      <c r="D364" s="20" t="inlineStr">
        <is>
          <t>Kuehlware</t>
        </is>
      </c>
      <c r="E364" s="14" t="n">
        <v>32448</v>
      </c>
      <c r="F364" s="13" t="n">
        <v>110323.2</v>
      </c>
      <c r="G364" s="12" t="n">
        <v>87.88</v>
      </c>
      <c r="H364" s="12" t="n">
        <v>67.59999999999999</v>
      </c>
      <c r="I364" s="12">
        <f>IF($H364&gt;0,$H364,IFERROR($G364/Import_Mapping!$B$7,0))</f>
        <v/>
      </c>
    </row>
    <row r="365">
      <c r="A365" s="11" t="n">
        <v>45931</v>
      </c>
      <c r="B365" s="20" t="inlineStr">
        <is>
          <t>Mainpunkt Handel</t>
        </is>
      </c>
      <c r="C365" s="20" t="inlineStr">
        <is>
          <t>DE-Mitte</t>
        </is>
      </c>
      <c r="D365" s="20" t="inlineStr">
        <is>
          <t>Aktionsware</t>
        </is>
      </c>
      <c r="E365" s="14" t="n">
        <v>14364</v>
      </c>
      <c r="F365" s="13" t="n">
        <v>89056.8</v>
      </c>
      <c r="G365" s="12" t="n">
        <v>59.85</v>
      </c>
      <c r="H365" s="12" t="n">
        <v>39.9</v>
      </c>
      <c r="I365" s="12">
        <f>IF($H365&gt;0,$H365,IFERROR($G365/Import_Mapping!$B$7,0))</f>
        <v/>
      </c>
    </row>
    <row r="366">
      <c r="A366" s="11" t="n">
        <v>45932</v>
      </c>
      <c r="B366" s="20" t="inlineStr">
        <is>
          <t>Rheinland Retail SE</t>
        </is>
      </c>
      <c r="C366" s="20" t="inlineStr">
        <is>
          <t>DE-West</t>
        </is>
      </c>
      <c r="D366" s="20" t="inlineStr">
        <is>
          <t>Getraenke</t>
        </is>
      </c>
      <c r="E366" s="14" t="n">
        <v>209760</v>
      </c>
      <c r="F366" s="13" t="n">
        <v>199272</v>
      </c>
      <c r="G366" s="12" t="n">
        <v>338.68</v>
      </c>
      <c r="H366" s="12" t="n">
        <v>218.5</v>
      </c>
      <c r="I366" s="12">
        <f>IF($H366&gt;0,$H366,IFERROR($G366/Import_Mapping!$B$7,0))</f>
        <v/>
      </c>
    </row>
    <row r="367">
      <c r="A367" s="11" t="n">
        <v>45933</v>
      </c>
      <c r="B367" s="20" t="inlineStr">
        <is>
          <t>Mainpunkt Handel</t>
        </is>
      </c>
      <c r="C367" s="20" t="inlineStr">
        <is>
          <t>DE-Mitte</t>
        </is>
      </c>
      <c r="D367" s="20" t="inlineStr">
        <is>
          <t>Getraenke</t>
        </is>
      </c>
      <c r="E367" s="14" t="n">
        <v>153600</v>
      </c>
      <c r="F367" s="13" t="n">
        <v>145920</v>
      </c>
      <c r="G367" s="12" t="n">
        <v>248</v>
      </c>
      <c r="H367" s="12" t="n">
        <v>160</v>
      </c>
      <c r="I367" s="12">
        <f>IF($H367&gt;0,$H367,IFERROR($G367/Import_Mapping!$B$7,0))</f>
        <v/>
      </c>
    </row>
    <row r="368">
      <c r="A368" s="11" t="n">
        <v>45933</v>
      </c>
      <c r="B368" s="20" t="inlineStr">
        <is>
          <t>Westfilial AG</t>
        </is>
      </c>
      <c r="C368" s="20" t="inlineStr">
        <is>
          <t>DE-West</t>
        </is>
      </c>
      <c r="D368" s="20" t="inlineStr">
        <is>
          <t>Kuehlware</t>
        </is>
      </c>
      <c r="E368" s="14" t="n">
        <v>47040</v>
      </c>
      <c r="F368" s="13" t="n">
        <v>159936</v>
      </c>
      <c r="G368" s="12" t="n">
        <v>127.4</v>
      </c>
      <c r="H368" s="12" t="n">
        <v>98</v>
      </c>
      <c r="I368" s="12">
        <f>IF($H368&gt;0,$H368,IFERROR($G368/Import_Mapping!$B$7,0))</f>
        <v/>
      </c>
    </row>
    <row r="369">
      <c r="A369" s="11" t="n">
        <v>45934</v>
      </c>
      <c r="B369" s="20" t="inlineStr">
        <is>
          <t>Tirol Handel AG</t>
        </is>
      </c>
      <c r="C369" s="20" t="inlineStr">
        <is>
          <t>AT</t>
        </is>
      </c>
      <c r="D369" s="20" t="inlineStr">
        <is>
          <t>Kuehlware</t>
        </is>
      </c>
      <c r="E369" s="14" t="n">
        <v>11760</v>
      </c>
      <c r="F369" s="13" t="n">
        <v>39984</v>
      </c>
      <c r="G369" s="12" t="n">
        <v>31.85</v>
      </c>
      <c r="H369" s="12" t="n">
        <v>24.5</v>
      </c>
      <c r="I369" s="12">
        <f>IF($H369&gt;0,$H369,IFERROR($G369/Import_Mapping!$B$7,0))</f>
        <v/>
      </c>
    </row>
    <row r="370">
      <c r="A370" s="11" t="n">
        <v>45935</v>
      </c>
      <c r="B370" s="20" t="inlineStr">
        <is>
          <t>Austria Markt GmbH</t>
        </is>
      </c>
      <c r="C370" s="20" t="inlineStr">
        <is>
          <t>AT</t>
        </is>
      </c>
      <c r="D370" s="20" t="inlineStr">
        <is>
          <t>Aktionsware</t>
        </is>
      </c>
      <c r="E370" s="14" t="n">
        <v>5832</v>
      </c>
      <c r="F370" s="13" t="n">
        <v>36158.4</v>
      </c>
      <c r="G370" s="12" t="n">
        <v>24.3</v>
      </c>
      <c r="H370" s="12" t="n">
        <v>16.2</v>
      </c>
      <c r="I370" s="12">
        <f>IF($H370&gt;0,$H370,IFERROR($G370/Import_Mapping!$B$7,0))</f>
        <v/>
      </c>
    </row>
    <row r="371">
      <c r="A371" s="11" t="n">
        <v>45935</v>
      </c>
      <c r="B371" s="20" t="inlineStr">
        <is>
          <t>Odra Handel Sp.</t>
        </is>
      </c>
      <c r="C371" s="20" t="inlineStr">
        <is>
          <t>PL</t>
        </is>
      </c>
      <c r="D371" s="20" t="inlineStr">
        <is>
          <t>Kuehlware</t>
        </is>
      </c>
      <c r="E371" s="14" t="n">
        <v>6432</v>
      </c>
      <c r="F371" s="13" t="n">
        <v>21868.8</v>
      </c>
      <c r="G371" s="12" t="n">
        <v>17.42</v>
      </c>
      <c r="H371" s="12" t="n">
        <v>13.4</v>
      </c>
      <c r="I371" s="12">
        <f>IF($H371&gt;0,$H371,IFERROR($G371/Import_Mapping!$B$7,0))</f>
        <v/>
      </c>
    </row>
    <row r="372">
      <c r="A372" s="11" t="n">
        <v>45937</v>
      </c>
      <c r="B372" s="20" t="inlineStr">
        <is>
          <t>Rheinland Retail SE</t>
        </is>
      </c>
      <c r="C372" s="20" t="inlineStr">
        <is>
          <t>DE-West</t>
        </is>
      </c>
      <c r="D372" s="20" t="inlineStr">
        <is>
          <t>Non-Food</t>
        </is>
      </c>
      <c r="E372" s="14" t="n">
        <v>13896</v>
      </c>
      <c r="F372" s="13" t="n">
        <v>173700</v>
      </c>
      <c r="G372" s="12" t="n">
        <v>92.64</v>
      </c>
      <c r="H372" s="12" t="n">
        <v>57.9</v>
      </c>
      <c r="I372" s="12">
        <f>IF($H372&gt;0,$H372,IFERROR($G372/Import_Mapping!$B$7,0))</f>
        <v/>
      </c>
    </row>
    <row r="373">
      <c r="A373" s="11" t="n">
        <v>45937</v>
      </c>
      <c r="B373" s="20" t="inlineStr">
        <is>
          <t>Wisla Retail Sp.</t>
        </is>
      </c>
      <c r="C373" s="20" t="inlineStr">
        <is>
          <t>PL</t>
        </is>
      </c>
      <c r="D373" s="20" t="inlineStr">
        <is>
          <t>Getraenke</t>
        </is>
      </c>
      <c r="E373" s="14" t="n">
        <v>39072</v>
      </c>
      <c r="F373" s="13" t="n">
        <v>37118.4</v>
      </c>
      <c r="G373" s="12" t="n">
        <v>63.09</v>
      </c>
      <c r="H373" s="12" t="n">
        <v>40.7</v>
      </c>
      <c r="I373" s="12">
        <f>IF($H373&gt;0,$H373,IFERROR($G373/Import_Mapping!$B$7,0))</f>
        <v/>
      </c>
    </row>
    <row r="374">
      <c r="A374" s="11" t="n">
        <v>45938</v>
      </c>
      <c r="B374" s="20" t="inlineStr">
        <is>
          <t>Alpenmarkt GmbH</t>
        </is>
      </c>
      <c r="C374" s="20" t="inlineStr">
        <is>
          <t>DE-Sued</t>
        </is>
      </c>
      <c r="D374" s="20" t="inlineStr">
        <is>
          <t>Kuehlware</t>
        </is>
      </c>
      <c r="E374" s="14" t="n">
        <v>40224</v>
      </c>
      <c r="F374" s="13" t="n">
        <v>136761.6</v>
      </c>
      <c r="G374" s="12" t="n">
        <v>108.94</v>
      </c>
      <c r="H374" s="12" t="n">
        <v>83.8</v>
      </c>
      <c r="I374" s="12">
        <f>IF($H374&gt;0,$H374,IFERROR($G374/Import_Mapping!$B$7,0))</f>
        <v/>
      </c>
    </row>
    <row r="375">
      <c r="A375" s="11" t="n">
        <v>45939</v>
      </c>
      <c r="B375" s="20" t="inlineStr">
        <is>
          <t>Mainpunkt Handel</t>
        </is>
      </c>
      <c r="C375" s="20" t="inlineStr">
        <is>
          <t>DE-Mitte</t>
        </is>
      </c>
      <c r="D375" s="20" t="inlineStr">
        <is>
          <t>Kuehlware</t>
        </is>
      </c>
      <c r="E375" s="14" t="n">
        <v>24768</v>
      </c>
      <c r="F375" s="13" t="n">
        <v>84211.2</v>
      </c>
      <c r="G375" s="12" t="n">
        <v>67.08</v>
      </c>
      <c r="H375" s="12" t="n">
        <v>51.6</v>
      </c>
      <c r="I375" s="12">
        <f>IF($H375&gt;0,$H375,IFERROR($G375/Import_Mapping!$B$7,0))</f>
        <v/>
      </c>
    </row>
    <row r="376">
      <c r="A376" s="11" t="n">
        <v>45939</v>
      </c>
      <c r="B376" s="20" t="inlineStr">
        <is>
          <t>Mainpunkt Handel</t>
        </is>
      </c>
      <c r="C376" s="20" t="inlineStr">
        <is>
          <t>DE-Mitte</t>
        </is>
      </c>
      <c r="D376" s="20" t="inlineStr">
        <is>
          <t>Non-Food</t>
        </is>
      </c>
      <c r="E376" s="14" t="n">
        <v>8520</v>
      </c>
      <c r="F376" s="13" t="n">
        <v>106500</v>
      </c>
      <c r="G376" s="12" t="n">
        <v>56.8</v>
      </c>
      <c r="H376" s="12" t="n">
        <v>35.5</v>
      </c>
      <c r="I376" s="12">
        <f>IF($H376&gt;0,$H376,IFERROR($G376/Import_Mapping!$B$7,0))</f>
        <v/>
      </c>
    </row>
    <row r="377">
      <c r="A377" s="11" t="n">
        <v>45940</v>
      </c>
      <c r="B377" s="20" t="inlineStr">
        <is>
          <t>Ruhr Frische GmbH</t>
        </is>
      </c>
      <c r="C377" s="20" t="inlineStr">
        <is>
          <t>DE-West</t>
        </is>
      </c>
      <c r="D377" s="20" t="inlineStr">
        <is>
          <t>Trockensortiment</t>
        </is>
      </c>
      <c r="E377" s="14" t="n">
        <v>169128</v>
      </c>
      <c r="F377" s="13" t="n">
        <v>312886.8</v>
      </c>
      <c r="G377" s="12" t="n">
        <v>340.61</v>
      </c>
      <c r="H377" s="12" t="n">
        <v>234.9</v>
      </c>
      <c r="I377" s="12">
        <f>IF($H377&gt;0,$H377,IFERROR($G377/Import_Mapping!$B$7,0))</f>
        <v/>
      </c>
    </row>
    <row r="378">
      <c r="A378" s="11" t="n">
        <v>45940</v>
      </c>
      <c r="B378" s="20" t="inlineStr">
        <is>
          <t>Odra Handel Sp.</t>
        </is>
      </c>
      <c r="C378" s="20" t="inlineStr">
        <is>
          <t>PL</t>
        </is>
      </c>
      <c r="D378" s="20" t="inlineStr">
        <is>
          <t>Aktionsware</t>
        </is>
      </c>
      <c r="E378" s="14" t="n">
        <v>28404</v>
      </c>
      <c r="F378" s="13" t="n">
        <v>176104.8</v>
      </c>
      <c r="G378" s="12" t="n">
        <v>118.35</v>
      </c>
      <c r="H378" s="12" t="n">
        <v>78.90000000000001</v>
      </c>
      <c r="I378" s="12">
        <f>IF($H378&gt;0,$H378,IFERROR($G378/Import_Mapping!$B$7,0))</f>
        <v/>
      </c>
    </row>
    <row r="379">
      <c r="A379" s="11" t="n">
        <v>45941</v>
      </c>
      <c r="B379" s="20" t="inlineStr">
        <is>
          <t>Tirol Handel AG</t>
        </is>
      </c>
      <c r="C379" s="20" t="inlineStr">
        <is>
          <t>AT</t>
        </is>
      </c>
      <c r="D379" s="20" t="inlineStr">
        <is>
          <t>Trockensortiment</t>
        </is>
      </c>
      <c r="E379" s="14" t="n">
        <v>29664</v>
      </c>
      <c r="F379" s="13" t="n">
        <v>54878.4</v>
      </c>
      <c r="G379" s="12" t="n">
        <v>59.74</v>
      </c>
      <c r="H379" s="12" t="n">
        <v>41.2</v>
      </c>
      <c r="I379" s="12">
        <f>IF($H379&gt;0,$H379,IFERROR($G379/Import_Mapping!$B$7,0))</f>
        <v/>
      </c>
    </row>
    <row r="380">
      <c r="A380" s="11" t="n">
        <v>45942</v>
      </c>
      <c r="B380" s="20" t="inlineStr">
        <is>
          <t>Austria Markt GmbH</t>
        </is>
      </c>
      <c r="C380" s="20" t="inlineStr">
        <is>
          <t>AT</t>
        </is>
      </c>
      <c r="D380" s="20" t="inlineStr">
        <is>
          <t>Getraenke</t>
        </is>
      </c>
      <c r="E380" s="14" t="n">
        <v>64128</v>
      </c>
      <c r="F380" s="13" t="n">
        <v>60921.6</v>
      </c>
      <c r="G380" s="12" t="n">
        <v>103.54</v>
      </c>
      <c r="H380" s="12" t="n">
        <v>66.8</v>
      </c>
      <c r="I380" s="12">
        <f>IF($H380&gt;0,$H380,IFERROR($G380/Import_Mapping!$B$7,0))</f>
        <v/>
      </c>
    </row>
    <row r="381">
      <c r="A381" s="11" t="n">
        <v>45943</v>
      </c>
      <c r="B381" s="20" t="inlineStr">
        <is>
          <t>Randstad Retail BV</t>
        </is>
      </c>
      <c r="C381" s="20" t="inlineStr">
        <is>
          <t>NL</t>
        </is>
      </c>
      <c r="D381" s="20" t="inlineStr">
        <is>
          <t>Non-Food</t>
        </is>
      </c>
      <c r="E381" s="14" t="n">
        <v>5664</v>
      </c>
      <c r="F381" s="13" t="n">
        <v>70800</v>
      </c>
      <c r="G381" s="12" t="n">
        <v>37.76</v>
      </c>
      <c r="H381" s="12" t="n">
        <v>23.6</v>
      </c>
      <c r="I381" s="12">
        <f>IF($H381&gt;0,$H381,IFERROR($G381/Import_Mapping!$B$7,0))</f>
        <v/>
      </c>
    </row>
    <row r="382">
      <c r="A382" s="11" t="n">
        <v>45944</v>
      </c>
      <c r="B382" s="20" t="inlineStr">
        <is>
          <t>Spree Markt AG</t>
        </is>
      </c>
      <c r="C382" s="20" t="inlineStr">
        <is>
          <t>DE-Ost</t>
        </is>
      </c>
      <c r="D382" s="20" t="inlineStr">
        <is>
          <t>Non-Food</t>
        </is>
      </c>
      <c r="E382" s="14" t="n">
        <v>6120</v>
      </c>
      <c r="F382" s="13" t="n">
        <v>76500</v>
      </c>
      <c r="G382" s="12" t="n">
        <v>40.8</v>
      </c>
      <c r="H382" s="12" t="n">
        <v>25.5</v>
      </c>
      <c r="I382" s="12">
        <f>IF($H382&gt;0,$H382,IFERROR($G382/Import_Mapping!$B$7,0))</f>
        <v/>
      </c>
    </row>
    <row r="383">
      <c r="A383" s="11" t="n">
        <v>45944</v>
      </c>
      <c r="B383" s="20" t="inlineStr">
        <is>
          <t>Rheinland Retail SE</t>
        </is>
      </c>
      <c r="C383" s="20" t="inlineStr">
        <is>
          <t>DE-West</t>
        </is>
      </c>
      <c r="D383" s="20" t="inlineStr">
        <is>
          <t>Aktionsware</t>
        </is>
      </c>
      <c r="E383" s="14" t="n">
        <v>23364</v>
      </c>
      <c r="F383" s="13" t="n">
        <v>144856.8</v>
      </c>
      <c r="G383" s="12" t="n">
        <v>97.34999999999999</v>
      </c>
      <c r="H383" s="12" t="n">
        <v>64.90000000000001</v>
      </c>
      <c r="I383" s="12">
        <f>IF($H383&gt;0,$H383,IFERROR($G383/Import_Mapping!$B$7,0))</f>
        <v/>
      </c>
    </row>
    <row r="384">
      <c r="A384" s="11" t="n">
        <v>45944</v>
      </c>
      <c r="B384" s="20" t="inlineStr">
        <is>
          <t>Randstad Retail BV</t>
        </is>
      </c>
      <c r="C384" s="20" t="inlineStr">
        <is>
          <t>NL</t>
        </is>
      </c>
      <c r="D384" s="20" t="inlineStr">
        <is>
          <t>Kuehlware</t>
        </is>
      </c>
      <c r="E384" s="14" t="n">
        <v>20448</v>
      </c>
      <c r="F384" s="13" t="n">
        <v>69523.2</v>
      </c>
      <c r="G384" s="12" t="n">
        <v>55.38</v>
      </c>
      <c r="H384" s="12" t="n">
        <v>42.6</v>
      </c>
      <c r="I384" s="12">
        <f>IF($H384&gt;0,$H384,IFERROR($G384/Import_Mapping!$B$7,0))</f>
        <v/>
      </c>
    </row>
    <row r="385">
      <c r="A385" s="11" t="n">
        <v>45946</v>
      </c>
      <c r="B385" s="20" t="inlineStr">
        <is>
          <t>Spree Markt AG</t>
        </is>
      </c>
      <c r="C385" s="20" t="inlineStr">
        <is>
          <t>DE-Ost</t>
        </is>
      </c>
      <c r="D385" s="20" t="inlineStr">
        <is>
          <t>Aktionsware</t>
        </is>
      </c>
      <c r="E385" s="14" t="n">
        <v>13032</v>
      </c>
      <c r="F385" s="13" t="n">
        <v>80798.39999999999</v>
      </c>
      <c r="G385" s="12" t="n">
        <v>54.3</v>
      </c>
      <c r="H385" s="12" t="n">
        <v>36.2</v>
      </c>
      <c r="I385" s="12">
        <f>IF($H385&gt;0,$H385,IFERROR($G385/Import_Mapping!$B$7,0))</f>
        <v/>
      </c>
    </row>
    <row r="386">
      <c r="A386" s="11" t="n">
        <v>45946</v>
      </c>
      <c r="B386" s="20" t="inlineStr">
        <is>
          <t>Randstad Retail BV</t>
        </is>
      </c>
      <c r="C386" s="20" t="inlineStr">
        <is>
          <t>NL</t>
        </is>
      </c>
      <c r="D386" s="20" t="inlineStr">
        <is>
          <t>Getraenke</t>
        </is>
      </c>
      <c r="E386" s="14" t="n">
        <v>49344</v>
      </c>
      <c r="F386" s="13" t="n">
        <v>46876.8</v>
      </c>
      <c r="G386" s="12" t="n">
        <v>79.67</v>
      </c>
      <c r="H386" s="12" t="n">
        <v>51.4</v>
      </c>
      <c r="I386" s="12">
        <f>IF($H386&gt;0,$H386,IFERROR($G386/Import_Mapping!$B$7,0))</f>
        <v/>
      </c>
    </row>
    <row r="387">
      <c r="A387" s="11" t="n">
        <v>45947</v>
      </c>
      <c r="B387" s="20" t="inlineStr">
        <is>
          <t>Mainpunkt Handel</t>
        </is>
      </c>
      <c r="C387" s="20" t="inlineStr">
        <is>
          <t>DE-Mitte</t>
        </is>
      </c>
      <c r="D387" s="20" t="inlineStr">
        <is>
          <t>Trockensortiment</t>
        </is>
      </c>
      <c r="E387" s="14" t="n">
        <v>84456</v>
      </c>
      <c r="F387" s="13" t="n">
        <v>156243.6</v>
      </c>
      <c r="G387" s="12" t="n">
        <v>170.08</v>
      </c>
      <c r="H387" s="12" t="n">
        <v>117.3</v>
      </c>
      <c r="I387" s="12">
        <f>IF($H387&gt;0,$H387,IFERROR($G387/Import_Mapping!$B$7,0))</f>
        <v/>
      </c>
    </row>
    <row r="388">
      <c r="A388" s="11" t="n">
        <v>45947</v>
      </c>
      <c r="B388" s="20" t="inlineStr">
        <is>
          <t>Sachsen Handel GmbH</t>
        </is>
      </c>
      <c r="C388" s="20" t="inlineStr">
        <is>
          <t>DE-Ost</t>
        </is>
      </c>
      <c r="D388" s="20" t="inlineStr">
        <is>
          <t>Getraenke</t>
        </is>
      </c>
      <c r="E388" s="14" t="n">
        <v>135168</v>
      </c>
      <c r="F388" s="13" t="n">
        <v>128409.6</v>
      </c>
      <c r="G388" s="12" t="n">
        <v>218.24</v>
      </c>
      <c r="H388" s="12" t="n">
        <v>140.8</v>
      </c>
      <c r="I388" s="12">
        <f>IF($H388&gt;0,$H388,IFERROR($G388/Import_Mapping!$B$7,0))</f>
        <v/>
      </c>
    </row>
    <row r="389">
      <c r="A389" s="11" t="n">
        <v>45947</v>
      </c>
      <c r="B389" s="20" t="inlineStr">
        <is>
          <t>Randstad Retail BV</t>
        </is>
      </c>
      <c r="C389" s="20" t="inlineStr">
        <is>
          <t>NL</t>
        </is>
      </c>
      <c r="D389" s="20" t="inlineStr">
        <is>
          <t>Aktionsware</t>
        </is>
      </c>
      <c r="E389" s="14" t="n">
        <v>7596</v>
      </c>
      <c r="F389" s="13" t="n">
        <v>47095.2</v>
      </c>
      <c r="G389" s="12" t="n">
        <v>31.65</v>
      </c>
      <c r="H389" s="12" t="n">
        <v>21.1</v>
      </c>
      <c r="I389" s="12">
        <f>IF($H389&gt;0,$H389,IFERROR($G389/Import_Mapping!$B$7,0))</f>
        <v/>
      </c>
    </row>
    <row r="390">
      <c r="A390" s="11" t="n">
        <v>45948</v>
      </c>
      <c r="B390" s="20" t="inlineStr">
        <is>
          <t>Tirol Handel AG</t>
        </is>
      </c>
      <c r="C390" s="20" t="inlineStr">
        <is>
          <t>AT</t>
        </is>
      </c>
      <c r="D390" s="20" t="inlineStr">
        <is>
          <t>Non-Food</t>
        </is>
      </c>
      <c r="E390" s="14" t="n">
        <v>4080</v>
      </c>
      <c r="F390" s="13" t="n">
        <v>51000</v>
      </c>
      <c r="G390" s="12" t="n">
        <v>27.2</v>
      </c>
      <c r="H390" s="12" t="n">
        <v>17</v>
      </c>
      <c r="I390" s="12">
        <f>IF($H390&gt;0,$H390,IFERROR($G390/Import_Mapping!$B$7,0))</f>
        <v/>
      </c>
    </row>
    <row r="391">
      <c r="A391" s="11" t="n">
        <v>45948</v>
      </c>
      <c r="B391" s="20" t="inlineStr">
        <is>
          <t>Elbe Handel GmbH</t>
        </is>
      </c>
      <c r="C391" s="20" t="inlineStr">
        <is>
          <t>DE-Nord</t>
        </is>
      </c>
      <c r="D391" s="20" t="inlineStr">
        <is>
          <t>Aktionsware</t>
        </is>
      </c>
      <c r="E391" s="14" t="n">
        <v>14436</v>
      </c>
      <c r="F391" s="13" t="n">
        <v>89503.2</v>
      </c>
      <c r="G391" s="12" t="n">
        <v>60.15</v>
      </c>
      <c r="H391" s="12" t="n">
        <v>40.1</v>
      </c>
      <c r="I391" s="12">
        <f>IF($H391&gt;0,$H391,IFERROR($G391/Import_Mapping!$B$7,0))</f>
        <v/>
      </c>
    </row>
    <row r="392">
      <c r="A392" s="11" t="n">
        <v>45949</v>
      </c>
      <c r="B392" s="20" t="inlineStr">
        <is>
          <t>Spree Markt AG</t>
        </is>
      </c>
      <c r="C392" s="20" t="inlineStr">
        <is>
          <t>DE-Ost</t>
        </is>
      </c>
      <c r="D392" s="20" t="inlineStr">
        <is>
          <t>Kuehlware</t>
        </is>
      </c>
      <c r="E392" s="14" t="n">
        <v>27984</v>
      </c>
      <c r="F392" s="13" t="n">
        <v>95145.60000000001</v>
      </c>
      <c r="G392" s="12" t="n">
        <v>75.79000000000001</v>
      </c>
      <c r="H392" s="12" t="n">
        <v>58.3</v>
      </c>
      <c r="I392" s="12">
        <f>IF($H392&gt;0,$H392,IFERROR($G392/Import_Mapping!$B$7,0))</f>
        <v/>
      </c>
    </row>
    <row r="393">
      <c r="A393" s="11" t="n">
        <v>45949</v>
      </c>
      <c r="B393" s="20" t="inlineStr">
        <is>
          <t>Donau Handel AG</t>
        </is>
      </c>
      <c r="C393" s="20" t="inlineStr">
        <is>
          <t>DE-Sued</t>
        </is>
      </c>
      <c r="D393" s="20" t="inlineStr">
        <is>
          <t>Trockensortiment</t>
        </is>
      </c>
      <c r="E393" s="14" t="n">
        <v>133776</v>
      </c>
      <c r="F393" s="13" t="n">
        <v>247485.6</v>
      </c>
      <c r="G393" s="12" t="n">
        <v>269.41</v>
      </c>
      <c r="H393" s="12" t="n">
        <v>185.8</v>
      </c>
      <c r="I393" s="12">
        <f>IF($H393&gt;0,$H393,IFERROR($G393/Import_Mapping!$B$7,0))</f>
        <v/>
      </c>
    </row>
    <row r="394">
      <c r="A394" s="11" t="n">
        <v>45950</v>
      </c>
      <c r="B394" s="20" t="inlineStr">
        <is>
          <t>Wisla Retail Sp.</t>
        </is>
      </c>
      <c r="C394" s="20" t="inlineStr">
        <is>
          <t>PL</t>
        </is>
      </c>
      <c r="D394" s="20" t="inlineStr">
        <is>
          <t>Non-Food</t>
        </is>
      </c>
      <c r="E394" s="14" t="n">
        <v>10128</v>
      </c>
      <c r="F394" s="13" t="n">
        <v>126600</v>
      </c>
      <c r="G394" s="12" t="n">
        <v>67.52</v>
      </c>
      <c r="H394" s="12" t="n">
        <v>42.2</v>
      </c>
      <c r="I394" s="12">
        <f>IF($H394&gt;0,$H394,IFERROR($G394/Import_Mapping!$B$7,0))</f>
        <v/>
      </c>
    </row>
    <row r="395">
      <c r="A395" s="11" t="n">
        <v>45952</v>
      </c>
      <c r="B395" s="20" t="inlineStr">
        <is>
          <t>Kuestenlager KG</t>
        </is>
      </c>
      <c r="C395" s="20" t="inlineStr">
        <is>
          <t>DE-Nord</t>
        </is>
      </c>
      <c r="D395" s="20" t="inlineStr">
        <is>
          <t>Getraenke</t>
        </is>
      </c>
      <c r="E395" s="14" t="n">
        <v>165984</v>
      </c>
      <c r="F395" s="13" t="n">
        <v>157684.8</v>
      </c>
      <c r="G395" s="12" t="n">
        <v>268</v>
      </c>
      <c r="H395" s="12" t="n">
        <v>172.9</v>
      </c>
      <c r="I395" s="12">
        <f>IF($H395&gt;0,$H395,IFERROR($G395/Import_Mapping!$B$7,0))</f>
        <v/>
      </c>
    </row>
    <row r="396">
      <c r="A396" s="11" t="n">
        <v>45952</v>
      </c>
      <c r="B396" s="20" t="inlineStr">
        <is>
          <t>Donau Handel AG</t>
        </is>
      </c>
      <c r="C396" s="20" t="inlineStr">
        <is>
          <t>DE-Sued</t>
        </is>
      </c>
      <c r="D396" s="20" t="inlineStr">
        <is>
          <t>Getraenke</t>
        </is>
      </c>
      <c r="E396" s="14" t="n">
        <v>238272</v>
      </c>
      <c r="F396" s="13" t="n">
        <v>226358.4</v>
      </c>
      <c r="G396" s="12" t="n">
        <v>384.71</v>
      </c>
      <c r="H396" s="12" t="n">
        <v>248.2</v>
      </c>
      <c r="I396" s="12">
        <f>IF($H396&gt;0,$H396,IFERROR($G396/Import_Mapping!$B$7,0))</f>
        <v/>
      </c>
    </row>
    <row r="397">
      <c r="A397" s="11" t="n">
        <v>45953</v>
      </c>
      <c r="B397" s="20" t="inlineStr">
        <is>
          <t>Alpenmarkt GmbH</t>
        </is>
      </c>
      <c r="C397" s="20" t="inlineStr">
        <is>
          <t>DE-Sued</t>
        </is>
      </c>
      <c r="D397" s="20" t="inlineStr">
        <is>
          <t>Non-Food</t>
        </is>
      </c>
      <c r="E397" s="14" t="n">
        <v>10440</v>
      </c>
      <c r="F397" s="13" t="n">
        <v>130500</v>
      </c>
      <c r="G397" s="12" t="n">
        <v>69.59999999999999</v>
      </c>
      <c r="H397" s="12" t="n">
        <v>43.5</v>
      </c>
      <c r="I397" s="12">
        <f>IF($H397&gt;0,$H397,IFERROR($G397/Import_Mapping!$B$7,0))</f>
        <v/>
      </c>
    </row>
    <row r="398">
      <c r="A398" s="11" t="n">
        <v>45953</v>
      </c>
      <c r="B398" s="20" t="inlineStr">
        <is>
          <t>Wisla Retail Sp.</t>
        </is>
      </c>
      <c r="C398" s="20" t="inlineStr">
        <is>
          <t>PL</t>
        </is>
      </c>
      <c r="D398" s="20" t="inlineStr">
        <is>
          <t>Trockensortiment</t>
        </is>
      </c>
      <c r="E398" s="14" t="n">
        <v>27072</v>
      </c>
      <c r="F398" s="13" t="n">
        <v>50083.2</v>
      </c>
      <c r="G398" s="12" t="n">
        <v>54.52</v>
      </c>
      <c r="H398" s="12" t="n">
        <v>37.6</v>
      </c>
      <c r="I398" s="12">
        <f>IF($H398&gt;0,$H398,IFERROR($G398/Import_Mapping!$B$7,0))</f>
        <v/>
      </c>
    </row>
    <row r="399">
      <c r="A399" s="11" t="n">
        <v>45954</v>
      </c>
      <c r="B399" s="20" t="inlineStr">
        <is>
          <t>Kuestenlager KG</t>
        </is>
      </c>
      <c r="C399" s="20" t="inlineStr">
        <is>
          <t>DE-Nord</t>
        </is>
      </c>
      <c r="D399" s="20" t="inlineStr">
        <is>
          <t>Kuehlware</t>
        </is>
      </c>
      <c r="E399" s="14" t="n">
        <v>50688</v>
      </c>
      <c r="F399" s="13" t="n">
        <v>172339.2</v>
      </c>
      <c r="G399" s="12" t="n">
        <v>137.28</v>
      </c>
      <c r="H399" s="12" t="n">
        <v>105.6</v>
      </c>
      <c r="I399" s="12">
        <f>IF($H399&gt;0,$H399,IFERROR($G399/Import_Mapping!$B$7,0))</f>
        <v/>
      </c>
    </row>
    <row r="400">
      <c r="A400" s="11" t="n">
        <v>45954</v>
      </c>
      <c r="B400" s="20" t="inlineStr">
        <is>
          <t>Elbe Handel GmbH</t>
        </is>
      </c>
      <c r="C400" s="20" t="inlineStr">
        <is>
          <t>DE-Nord</t>
        </is>
      </c>
      <c r="D400" s="20" t="inlineStr">
        <is>
          <t>Non-Food</t>
        </is>
      </c>
      <c r="E400" s="14" t="n">
        <v>9120</v>
      </c>
      <c r="F400" s="13" t="n">
        <v>114000</v>
      </c>
      <c r="G400" s="12" t="n">
        <v>60.8</v>
      </c>
      <c r="H400" s="12" t="n">
        <v>38</v>
      </c>
      <c r="I400" s="12">
        <f>IF($H400&gt;0,$H400,IFERROR($G400/Import_Mapping!$B$7,0))</f>
        <v/>
      </c>
    </row>
    <row r="401">
      <c r="A401" s="11" t="n">
        <v>45954</v>
      </c>
      <c r="B401" s="20" t="inlineStr">
        <is>
          <t>Donau Handel AG</t>
        </is>
      </c>
      <c r="C401" s="20" t="inlineStr">
        <is>
          <t>DE-Sued</t>
        </is>
      </c>
      <c r="D401" s="20" t="inlineStr">
        <is>
          <t>Aktionsware</t>
        </is>
      </c>
      <c r="E401" s="14" t="n">
        <v>17496</v>
      </c>
      <c r="F401" s="13" t="n">
        <v>108475.2</v>
      </c>
      <c r="G401" s="12" t="n">
        <v>72.90000000000001</v>
      </c>
      <c r="H401" s="12" t="n">
        <v>48.6</v>
      </c>
      <c r="I401" s="12">
        <f>IF($H401&gt;0,$H401,IFERROR($G401/Import_Mapping!$B$7,0))</f>
        <v/>
      </c>
    </row>
    <row r="402">
      <c r="A402" s="11" t="n">
        <v>45955</v>
      </c>
      <c r="B402" s="20" t="inlineStr">
        <is>
          <t>Kuestenlager KG</t>
        </is>
      </c>
      <c r="C402" s="20" t="inlineStr">
        <is>
          <t>DE-Nord</t>
        </is>
      </c>
      <c r="D402" s="20" t="inlineStr">
        <is>
          <t>Trockensortiment</t>
        </is>
      </c>
      <c r="E402" s="14" t="n">
        <v>108792</v>
      </c>
      <c r="F402" s="13" t="n">
        <v>201265.2</v>
      </c>
      <c r="G402" s="12" t="n">
        <v>219.09</v>
      </c>
      <c r="H402" s="12" t="n">
        <v>151.1</v>
      </c>
      <c r="I402" s="12">
        <f>IF($H402&gt;0,$H402,IFERROR($G402/Import_Mapping!$B$7,0))</f>
        <v/>
      </c>
    </row>
    <row r="403">
      <c r="A403" s="11" t="n">
        <v>45955</v>
      </c>
      <c r="B403" s="20" t="inlineStr">
        <is>
          <t>Spree Markt AG</t>
        </is>
      </c>
      <c r="C403" s="20" t="inlineStr">
        <is>
          <t>DE-Ost</t>
        </is>
      </c>
      <c r="D403" s="20" t="inlineStr">
        <is>
          <t>Trockensortiment</t>
        </is>
      </c>
      <c r="E403" s="14" t="n">
        <v>62424</v>
      </c>
      <c r="F403" s="13" t="n">
        <v>115484.4</v>
      </c>
      <c r="G403" s="12" t="n">
        <v>125.72</v>
      </c>
      <c r="H403" s="12" t="n">
        <v>86.7</v>
      </c>
      <c r="I403" s="12">
        <f>IF($H403&gt;0,$H403,IFERROR($G403/Import_Mapping!$B$7,0))</f>
        <v/>
      </c>
    </row>
    <row r="404">
      <c r="A404" s="11" t="n">
        <v>45955</v>
      </c>
      <c r="B404" s="20" t="inlineStr">
        <is>
          <t>Randstad Retail BV</t>
        </is>
      </c>
      <c r="C404" s="20" t="inlineStr">
        <is>
          <t>NL</t>
        </is>
      </c>
      <c r="D404" s="20" t="inlineStr">
        <is>
          <t>Trockensortiment</t>
        </is>
      </c>
      <c r="E404" s="14" t="n">
        <v>43344</v>
      </c>
      <c r="F404" s="13" t="n">
        <v>80186.39999999999</v>
      </c>
      <c r="G404" s="12" t="n">
        <v>87.29000000000001</v>
      </c>
      <c r="H404" s="12" t="n">
        <v>60.2</v>
      </c>
      <c r="I404" s="12">
        <f>IF($H404&gt;0,$H404,IFERROR($G404/Import_Mapping!$B$7,0))</f>
        <v/>
      </c>
    </row>
    <row r="405">
      <c r="A405" s="11" t="n">
        <v>45963</v>
      </c>
      <c r="B405" s="20" t="inlineStr">
        <is>
          <t>Kuestenlager KG</t>
        </is>
      </c>
      <c r="C405" s="20" t="inlineStr">
        <is>
          <t>DE-Nord</t>
        </is>
      </c>
      <c r="D405" s="20" t="inlineStr">
        <is>
          <t>Aktionsware</t>
        </is>
      </c>
      <c r="E405" s="14" t="n">
        <v>15876</v>
      </c>
      <c r="F405" s="13" t="n">
        <v>98431.2</v>
      </c>
      <c r="G405" s="12" t="n">
        <v>66.15000000000001</v>
      </c>
      <c r="H405" s="12" t="n">
        <v>44.1</v>
      </c>
      <c r="I405" s="12">
        <f>IF($H405&gt;0,$H405,IFERROR($G405/Import_Mapping!$B$7,0))</f>
        <v/>
      </c>
    </row>
    <row r="406">
      <c r="A406" s="11" t="n">
        <v>45963</v>
      </c>
      <c r="B406" s="20" t="inlineStr">
        <is>
          <t>Ruhr Frische GmbH</t>
        </is>
      </c>
      <c r="C406" s="20" t="inlineStr">
        <is>
          <t>DE-West</t>
        </is>
      </c>
      <c r="D406" s="20" t="inlineStr">
        <is>
          <t>Getraenke</t>
        </is>
      </c>
      <c r="E406" s="14" t="n">
        <v>216000</v>
      </c>
      <c r="F406" s="13" t="n">
        <v>205200</v>
      </c>
      <c r="G406" s="12" t="n">
        <v>348.75</v>
      </c>
      <c r="H406" s="12" t="n">
        <v>225</v>
      </c>
      <c r="I406" s="12">
        <f>IF($H406&gt;0,$H406,IFERROR($G406/Import_Mapping!$B$7,0))</f>
        <v/>
      </c>
    </row>
    <row r="407">
      <c r="A407" s="11" t="n">
        <v>45963</v>
      </c>
      <c r="B407" s="20" t="inlineStr">
        <is>
          <t>Delta Foods BV</t>
        </is>
      </c>
      <c r="C407" s="20" t="inlineStr">
        <is>
          <t>NL</t>
        </is>
      </c>
      <c r="D407" s="20" t="inlineStr">
        <is>
          <t>Non-Food</t>
        </is>
      </c>
      <c r="E407" s="14" t="n">
        <v>5760</v>
      </c>
      <c r="F407" s="13" t="n">
        <v>72000</v>
      </c>
      <c r="G407" s="12" t="n">
        <v>38.4</v>
      </c>
      <c r="H407" s="12" t="n">
        <v>24</v>
      </c>
      <c r="I407" s="12">
        <f>IF($H407&gt;0,$H407,IFERROR($G407/Import_Mapping!$B$7,0))</f>
        <v/>
      </c>
    </row>
    <row r="408">
      <c r="A408" s="11" t="n">
        <v>45964</v>
      </c>
      <c r="B408" s="20" t="inlineStr">
        <is>
          <t>Austria Markt GmbH</t>
        </is>
      </c>
      <c r="C408" s="20" t="inlineStr">
        <is>
          <t>AT</t>
        </is>
      </c>
      <c r="D408" s="20" t="inlineStr">
        <is>
          <t>Getraenke</t>
        </is>
      </c>
      <c r="E408" s="14" t="n">
        <v>60288</v>
      </c>
      <c r="F408" s="13" t="n">
        <v>57273.6</v>
      </c>
      <c r="G408" s="12" t="n">
        <v>97.34</v>
      </c>
      <c r="H408" s="12" t="n">
        <v>62.8</v>
      </c>
      <c r="I408" s="12">
        <f>IF($H408&gt;0,$H408,IFERROR($G408/Import_Mapping!$B$7,0))</f>
        <v/>
      </c>
    </row>
    <row r="409">
      <c r="A409" s="11" t="n">
        <v>45964</v>
      </c>
      <c r="B409" s="20" t="inlineStr">
        <is>
          <t>Tirol Handel AG</t>
        </is>
      </c>
      <c r="C409" s="20" t="inlineStr">
        <is>
          <t>AT</t>
        </is>
      </c>
      <c r="D409" s="20" t="inlineStr">
        <is>
          <t>Non-Food</t>
        </is>
      </c>
      <c r="E409" s="14" t="n">
        <v>4560</v>
      </c>
      <c r="F409" s="13" t="n">
        <v>57000</v>
      </c>
      <c r="G409" s="12" t="n">
        <v>30.4</v>
      </c>
      <c r="H409" s="12" t="n">
        <v>19</v>
      </c>
      <c r="I409" s="12">
        <f>IF($H409&gt;0,$H409,IFERROR($G409/Import_Mapping!$B$7,0))</f>
        <v/>
      </c>
    </row>
    <row r="410">
      <c r="A410" s="11" t="n">
        <v>45964</v>
      </c>
      <c r="B410" s="20" t="inlineStr">
        <is>
          <t>Hessen Vertrieb GmbH</t>
        </is>
      </c>
      <c r="C410" s="20" t="inlineStr">
        <is>
          <t>DE-Mitte</t>
        </is>
      </c>
      <c r="D410" s="20" t="inlineStr">
        <is>
          <t>Getraenke</t>
        </is>
      </c>
      <c r="E410" s="14" t="n">
        <v>126240</v>
      </c>
      <c r="F410" s="13" t="n">
        <v>119928</v>
      </c>
      <c r="G410" s="12" t="n">
        <v>203.83</v>
      </c>
      <c r="H410" s="12" t="n">
        <v>131.5</v>
      </c>
      <c r="I410" s="12">
        <f>IF($H410&gt;0,$H410,IFERROR($G410/Import_Mapping!$B$7,0))</f>
        <v/>
      </c>
    </row>
    <row r="411">
      <c r="A411" s="11" t="n">
        <v>45964</v>
      </c>
      <c r="B411" s="20" t="inlineStr">
        <is>
          <t>Donau Handel AG</t>
        </is>
      </c>
      <c r="C411" s="20" t="inlineStr">
        <is>
          <t>DE-Sued</t>
        </is>
      </c>
      <c r="D411" s="20" t="inlineStr">
        <is>
          <t>Kuehlware</t>
        </is>
      </c>
      <c r="E411" s="14" t="n">
        <v>38976</v>
      </c>
      <c r="F411" s="13" t="n">
        <v>132518.4</v>
      </c>
      <c r="G411" s="12" t="n">
        <v>105.56</v>
      </c>
      <c r="H411" s="12" t="n">
        <v>81.2</v>
      </c>
      <c r="I411" s="12">
        <f>IF($H411&gt;0,$H411,IFERROR($G411/Import_Mapping!$B$7,0))</f>
        <v/>
      </c>
    </row>
    <row r="412">
      <c r="A412" s="11" t="n">
        <v>45965</v>
      </c>
      <c r="B412" s="20" t="inlineStr">
        <is>
          <t>Hessen Vertrieb GmbH</t>
        </is>
      </c>
      <c r="C412" s="20" t="inlineStr">
        <is>
          <t>DE-Mitte</t>
        </is>
      </c>
      <c r="D412" s="20" t="inlineStr">
        <is>
          <t>Aktionsware</t>
        </is>
      </c>
      <c r="E412" s="14" t="n">
        <v>15588</v>
      </c>
      <c r="F412" s="13" t="n">
        <v>96645.60000000001</v>
      </c>
      <c r="G412" s="12" t="n">
        <v>64.95</v>
      </c>
      <c r="H412" s="12" t="n">
        <v>43.3</v>
      </c>
      <c r="I412" s="12">
        <f>IF($H412&gt;0,$H412,IFERROR($G412/Import_Mapping!$B$7,0))</f>
        <v/>
      </c>
    </row>
    <row r="413">
      <c r="A413" s="11" t="n">
        <v>45966</v>
      </c>
      <c r="B413" s="20" t="inlineStr">
        <is>
          <t>Elbe Handel GmbH</t>
        </is>
      </c>
      <c r="C413" s="20" t="inlineStr">
        <is>
          <t>DE-Nord</t>
        </is>
      </c>
      <c r="D413" s="20" t="inlineStr">
        <is>
          <t>Trockensortiment</t>
        </is>
      </c>
      <c r="E413" s="14" t="n">
        <v>121320</v>
      </c>
      <c r="F413" s="13" t="n">
        <v>224442</v>
      </c>
      <c r="G413" s="12" t="n">
        <v>244.32</v>
      </c>
      <c r="H413" s="12" t="n">
        <v>168.5</v>
      </c>
      <c r="I413" s="12">
        <f>IF($H413&gt;0,$H413,IFERROR($G413/Import_Mapping!$B$7,0))</f>
        <v/>
      </c>
    </row>
    <row r="414">
      <c r="A414" s="11" t="n">
        <v>45967</v>
      </c>
      <c r="B414" s="20" t="inlineStr">
        <is>
          <t>Sachsen Handel GmbH</t>
        </is>
      </c>
      <c r="C414" s="20" t="inlineStr">
        <is>
          <t>DE-Ost</t>
        </is>
      </c>
      <c r="D414" s="20" t="inlineStr">
        <is>
          <t>Kuehlware</t>
        </is>
      </c>
      <c r="E414" s="14" t="n">
        <v>29760</v>
      </c>
      <c r="F414" s="13" t="n">
        <v>101184</v>
      </c>
      <c r="G414" s="12" t="n">
        <v>80.59999999999999</v>
      </c>
      <c r="H414" s="12" t="n">
        <v>62</v>
      </c>
      <c r="I414" s="12">
        <f>IF($H414&gt;0,$H414,IFERROR($G414/Import_Mapping!$B$7,0))</f>
        <v/>
      </c>
    </row>
    <row r="415">
      <c r="A415" s="11" t="n">
        <v>45969</v>
      </c>
      <c r="B415" s="20" t="inlineStr">
        <is>
          <t>Nordmarkt AG</t>
        </is>
      </c>
      <c r="C415" s="20" t="inlineStr">
        <is>
          <t>DE-Nord</t>
        </is>
      </c>
      <c r="D415" s="20" t="inlineStr">
        <is>
          <t>Getraenke</t>
        </is>
      </c>
      <c r="E415" s="14" t="n">
        <v>170016</v>
      </c>
      <c r="F415" s="13" t="n">
        <v>161515.2</v>
      </c>
      <c r="G415" s="12" t="n">
        <v>274.5</v>
      </c>
      <c r="H415" s="12" t="n">
        <v>177.1</v>
      </c>
      <c r="I415" s="12">
        <f>IF($H415&gt;0,$H415,IFERROR($G415/Import_Mapping!$B$7,0))</f>
        <v/>
      </c>
    </row>
    <row r="416">
      <c r="A416" s="11" t="n">
        <v>45969</v>
      </c>
      <c r="B416" s="20" t="inlineStr">
        <is>
          <t>Kuestenlager KG</t>
        </is>
      </c>
      <c r="C416" s="20" t="inlineStr">
        <is>
          <t>DE-Nord</t>
        </is>
      </c>
      <c r="D416" s="20" t="inlineStr">
        <is>
          <t>Kuehlware</t>
        </is>
      </c>
      <c r="E416" s="14" t="n">
        <v>50016</v>
      </c>
      <c r="F416" s="13" t="n">
        <v>170054.4</v>
      </c>
      <c r="G416" s="12" t="n">
        <v>135.46</v>
      </c>
      <c r="H416" s="12" t="n">
        <v>104.2</v>
      </c>
      <c r="I416" s="12">
        <f>IF($H416&gt;0,$H416,IFERROR($G416/Import_Mapping!$B$7,0))</f>
        <v/>
      </c>
    </row>
    <row r="417">
      <c r="A417" s="11" t="n">
        <v>45969</v>
      </c>
      <c r="B417" s="20" t="inlineStr">
        <is>
          <t>Alpenmarkt GmbH</t>
        </is>
      </c>
      <c r="C417" s="20" t="inlineStr">
        <is>
          <t>DE-Sued</t>
        </is>
      </c>
      <c r="D417" s="20" t="inlineStr">
        <is>
          <t>Non-Food</t>
        </is>
      </c>
      <c r="E417" s="14" t="n">
        <v>11736</v>
      </c>
      <c r="F417" s="13" t="n">
        <v>146700</v>
      </c>
      <c r="G417" s="12" t="n">
        <v>78.23999999999999</v>
      </c>
      <c r="H417" s="12" t="n">
        <v>48.9</v>
      </c>
      <c r="I417" s="12">
        <f>IF($H417&gt;0,$H417,IFERROR($G417/Import_Mapping!$B$7,0))</f>
        <v/>
      </c>
    </row>
    <row r="418">
      <c r="A418" s="11" t="n">
        <v>45969</v>
      </c>
      <c r="B418" s="20" t="inlineStr">
        <is>
          <t>Odra Handel Sp.</t>
        </is>
      </c>
      <c r="C418" s="20" t="inlineStr">
        <is>
          <t>PL</t>
        </is>
      </c>
      <c r="D418" s="20" t="inlineStr">
        <is>
          <t>Trockensortiment</t>
        </is>
      </c>
      <c r="E418" s="14" t="n">
        <v>28008</v>
      </c>
      <c r="F418" s="13" t="n">
        <v>51814.8</v>
      </c>
      <c r="G418" s="12" t="n">
        <v>56.4</v>
      </c>
      <c r="H418" s="12" t="n">
        <v>38.9</v>
      </c>
      <c r="I418" s="12">
        <f>IF($H418&gt;0,$H418,IFERROR($G418/Import_Mapping!$B$7,0))</f>
        <v/>
      </c>
    </row>
    <row r="419">
      <c r="A419" s="11" t="n">
        <v>45971</v>
      </c>
      <c r="B419" s="20" t="inlineStr">
        <is>
          <t>Tirol Handel AG</t>
        </is>
      </c>
      <c r="C419" s="20" t="inlineStr">
        <is>
          <t>AT</t>
        </is>
      </c>
      <c r="D419" s="20" t="inlineStr">
        <is>
          <t>Trockensortiment</t>
        </is>
      </c>
      <c r="E419" s="14" t="n">
        <v>35928</v>
      </c>
      <c r="F419" s="13" t="n">
        <v>66466.8</v>
      </c>
      <c r="G419" s="12" t="n">
        <v>72.34999999999999</v>
      </c>
      <c r="H419" s="12" t="n">
        <v>49.9</v>
      </c>
      <c r="I419" s="12">
        <f>IF($H419&gt;0,$H419,IFERROR($G419/Import_Mapping!$B$7,0))</f>
        <v/>
      </c>
    </row>
    <row r="420">
      <c r="A420" s="11" t="n">
        <v>45971</v>
      </c>
      <c r="B420" s="20" t="inlineStr">
        <is>
          <t>Kuestenlager KG</t>
        </is>
      </c>
      <c r="C420" s="20" t="inlineStr">
        <is>
          <t>DE-Nord</t>
        </is>
      </c>
      <c r="D420" s="20" t="inlineStr">
        <is>
          <t>Non-Food</t>
        </is>
      </c>
      <c r="E420" s="14" t="n">
        <v>11040</v>
      </c>
      <c r="F420" s="13" t="n">
        <v>138000</v>
      </c>
      <c r="G420" s="12" t="n">
        <v>73.59999999999999</v>
      </c>
      <c r="H420" s="12" t="n">
        <v>46</v>
      </c>
      <c r="I420" s="12">
        <f>IF($H420&gt;0,$H420,IFERROR($G420/Import_Mapping!$B$7,0))</f>
        <v/>
      </c>
    </row>
    <row r="421">
      <c r="A421" s="11" t="n">
        <v>45971</v>
      </c>
      <c r="B421" s="20" t="inlineStr">
        <is>
          <t>Ruhr Frische GmbH</t>
        </is>
      </c>
      <c r="C421" s="20" t="inlineStr">
        <is>
          <t>DE-West</t>
        </is>
      </c>
      <c r="D421" s="20" t="inlineStr">
        <is>
          <t>Non-Food</t>
        </is>
      </c>
      <c r="E421" s="14" t="n">
        <v>16272</v>
      </c>
      <c r="F421" s="13" t="n">
        <v>203400</v>
      </c>
      <c r="G421" s="12" t="n">
        <v>108.48</v>
      </c>
      <c r="H421" s="12" t="n">
        <v>67.8</v>
      </c>
      <c r="I421" s="12">
        <f>IF($H421&gt;0,$H421,IFERROR($G421/Import_Mapping!$B$7,0))</f>
        <v/>
      </c>
    </row>
    <row r="422">
      <c r="A422" s="11" t="n">
        <v>45971</v>
      </c>
      <c r="B422" s="20" t="inlineStr">
        <is>
          <t>Randstad Retail BV</t>
        </is>
      </c>
      <c r="C422" s="20" t="inlineStr">
        <is>
          <t>NL</t>
        </is>
      </c>
      <c r="D422" s="20" t="inlineStr">
        <is>
          <t>Getraenke</t>
        </is>
      </c>
      <c r="E422" s="14" t="n">
        <v>51072</v>
      </c>
      <c r="F422" s="13" t="n">
        <v>48518.4</v>
      </c>
      <c r="G422" s="12" t="n">
        <v>82.45999999999999</v>
      </c>
      <c r="H422" s="12" t="n">
        <v>53.2</v>
      </c>
      <c r="I422" s="12">
        <f>IF($H422&gt;0,$H422,IFERROR($G422/Import_Mapping!$B$7,0))</f>
        <v/>
      </c>
    </row>
    <row r="423">
      <c r="A423" s="11" t="n">
        <v>45972</v>
      </c>
      <c r="B423" s="20" t="inlineStr">
        <is>
          <t>Tirol Handel AG</t>
        </is>
      </c>
      <c r="C423" s="20" t="inlineStr">
        <is>
          <t>AT</t>
        </is>
      </c>
      <c r="D423" s="20" t="inlineStr">
        <is>
          <t>Aktionsware</t>
        </is>
      </c>
      <c r="E423" s="14" t="n">
        <v>7308</v>
      </c>
      <c r="F423" s="13" t="n">
        <v>45309.6</v>
      </c>
      <c r="G423" s="12" t="n">
        <v>30.45</v>
      </c>
      <c r="H423" s="12" t="n">
        <v>20.3</v>
      </c>
      <c r="I423" s="12">
        <f>IF($H423&gt;0,$H423,IFERROR($G423/Import_Mapping!$B$7,0))</f>
        <v/>
      </c>
    </row>
    <row r="424">
      <c r="A424" s="11" t="n">
        <v>45972</v>
      </c>
      <c r="B424" s="20" t="inlineStr">
        <is>
          <t>Rheinland Retail SE</t>
        </is>
      </c>
      <c r="C424" s="20" t="inlineStr">
        <is>
          <t>DE-West</t>
        </is>
      </c>
      <c r="D424" s="20" t="inlineStr">
        <is>
          <t>Kuehlware</t>
        </is>
      </c>
      <c r="E424" s="14" t="n">
        <v>56112</v>
      </c>
      <c r="F424" s="13" t="n">
        <v>190780.8</v>
      </c>
      <c r="G424" s="12" t="n">
        <v>151.97</v>
      </c>
      <c r="H424" s="12" t="n">
        <v>116.9</v>
      </c>
      <c r="I424" s="12">
        <f>IF($H424&gt;0,$H424,IFERROR($G424/Import_Mapping!$B$7,0))</f>
        <v/>
      </c>
    </row>
    <row r="425">
      <c r="A425" s="11" t="n">
        <v>45975</v>
      </c>
      <c r="B425" s="20" t="inlineStr">
        <is>
          <t>Randstad Retail BV</t>
        </is>
      </c>
      <c r="C425" s="20" t="inlineStr">
        <is>
          <t>NL</t>
        </is>
      </c>
      <c r="D425" s="20" t="inlineStr">
        <is>
          <t>Aktionsware</t>
        </is>
      </c>
      <c r="E425" s="14" t="n">
        <v>8568</v>
      </c>
      <c r="F425" s="13" t="n">
        <v>53121.6</v>
      </c>
      <c r="G425" s="12" t="n">
        <v>35.7</v>
      </c>
      <c r="H425" s="12" t="n">
        <v>23.8</v>
      </c>
      <c r="I425" s="12">
        <f>IF($H425&gt;0,$H425,IFERROR($G425/Import_Mapping!$B$7,0))</f>
        <v/>
      </c>
    </row>
    <row r="426">
      <c r="A426" s="11" t="n">
        <v>45977</v>
      </c>
      <c r="B426" s="20" t="inlineStr">
        <is>
          <t>Austria Markt GmbH</t>
        </is>
      </c>
      <c r="C426" s="20" t="inlineStr">
        <is>
          <t>AT</t>
        </is>
      </c>
      <c r="D426" s="20" t="inlineStr">
        <is>
          <t>Kuehlware</t>
        </is>
      </c>
      <c r="E426" s="14" t="n">
        <v>11136</v>
      </c>
      <c r="F426" s="13" t="n">
        <v>37862.4</v>
      </c>
      <c r="G426" s="12" t="n">
        <v>30.16</v>
      </c>
      <c r="H426" s="12" t="n">
        <v>23.2</v>
      </c>
      <c r="I426" s="12">
        <f>IF($H426&gt;0,$H426,IFERROR($G426/Import_Mapping!$B$7,0))</f>
        <v/>
      </c>
    </row>
    <row r="427">
      <c r="A427" s="11" t="n">
        <v>45977</v>
      </c>
      <c r="B427" s="20" t="inlineStr">
        <is>
          <t>Spree Markt AG</t>
        </is>
      </c>
      <c r="C427" s="20" t="inlineStr">
        <is>
          <t>DE-Ost</t>
        </is>
      </c>
      <c r="D427" s="20" t="inlineStr">
        <is>
          <t>Non-Food</t>
        </is>
      </c>
      <c r="E427" s="14" t="n">
        <v>7392</v>
      </c>
      <c r="F427" s="13" t="n">
        <v>92400</v>
      </c>
      <c r="G427" s="12" t="n">
        <v>49.28</v>
      </c>
      <c r="H427" s="12" t="n">
        <v>30.8</v>
      </c>
      <c r="I427" s="12">
        <f>IF($H427&gt;0,$H427,IFERROR($G427/Import_Mapping!$B$7,0))</f>
        <v/>
      </c>
    </row>
    <row r="428">
      <c r="A428" s="11" t="n">
        <v>45979</v>
      </c>
      <c r="B428" s="20" t="inlineStr">
        <is>
          <t>Wisla Retail Sp.</t>
        </is>
      </c>
      <c r="C428" s="20" t="inlineStr">
        <is>
          <t>PL</t>
        </is>
      </c>
      <c r="D428" s="20" t="inlineStr">
        <is>
          <t>Non-Food</t>
        </is>
      </c>
      <c r="E428" s="14" t="n">
        <v>10248</v>
      </c>
      <c r="F428" s="13" t="n">
        <v>128100</v>
      </c>
      <c r="G428" s="12" t="n">
        <v>68.31999999999999</v>
      </c>
      <c r="H428" s="12" t="n">
        <v>42.7</v>
      </c>
      <c r="I428" s="12">
        <f>IF($H428&gt;0,$H428,IFERROR($G428/Import_Mapping!$B$7,0))</f>
        <v/>
      </c>
    </row>
    <row r="429">
      <c r="A429" s="11" t="n">
        <v>45980</v>
      </c>
      <c r="B429" s="20" t="inlineStr">
        <is>
          <t>Randstad Retail BV</t>
        </is>
      </c>
      <c r="C429" s="20" t="inlineStr">
        <is>
          <t>NL</t>
        </is>
      </c>
      <c r="D429" s="20" t="inlineStr">
        <is>
          <t>Kuehlware</t>
        </is>
      </c>
      <c r="E429" s="14" t="n">
        <v>23808</v>
      </c>
      <c r="F429" s="13" t="n">
        <v>80947.2</v>
      </c>
      <c r="G429" s="12" t="n">
        <v>64.48</v>
      </c>
      <c r="H429" s="12" t="n">
        <v>49.6</v>
      </c>
      <c r="I429" s="12">
        <f>IF($H429&gt;0,$H429,IFERROR($G429/Import_Mapping!$B$7,0))</f>
        <v/>
      </c>
    </row>
    <row r="430">
      <c r="A430" s="11" t="n">
        <v>45980</v>
      </c>
      <c r="B430" s="20" t="inlineStr">
        <is>
          <t>Delta Foods BV</t>
        </is>
      </c>
      <c r="C430" s="20" t="inlineStr">
        <is>
          <t>NL</t>
        </is>
      </c>
      <c r="D430" s="20" t="inlineStr">
        <is>
          <t>Trockensortiment</t>
        </is>
      </c>
      <c r="E430" s="14" t="n">
        <v>50976</v>
      </c>
      <c r="F430" s="13" t="n">
        <v>94305.60000000001</v>
      </c>
      <c r="G430" s="12" t="n">
        <v>102.66</v>
      </c>
      <c r="H430" s="12" t="n">
        <v>70.8</v>
      </c>
      <c r="I430" s="12">
        <f>IF($H430&gt;0,$H430,IFERROR($G430/Import_Mapping!$B$7,0))</f>
        <v/>
      </c>
    </row>
    <row r="431">
      <c r="A431" s="11" t="n">
        <v>45980</v>
      </c>
      <c r="B431" s="20" t="inlineStr">
        <is>
          <t>Wisla Retail Sp.</t>
        </is>
      </c>
      <c r="C431" s="20" t="inlineStr">
        <is>
          <t>PL</t>
        </is>
      </c>
      <c r="D431" s="20" t="inlineStr">
        <is>
          <t>Aktionsware</t>
        </is>
      </c>
      <c r="E431" s="14" t="n">
        <v>27036</v>
      </c>
      <c r="F431" s="13" t="n">
        <v>167623.2</v>
      </c>
      <c r="G431" s="12" t="n">
        <v>112.65</v>
      </c>
      <c r="H431" s="12" t="n">
        <v>75.09999999999999</v>
      </c>
      <c r="I431" s="12">
        <f>IF($H431&gt;0,$H431,IFERROR($G431/Import_Mapping!$B$7,0))</f>
        <v/>
      </c>
    </row>
    <row r="432">
      <c r="A432" s="11" t="n">
        <v>45981</v>
      </c>
      <c r="B432" s="20" t="inlineStr">
        <is>
          <t>Hessen Vertrieb GmbH</t>
        </is>
      </c>
      <c r="C432" s="20" t="inlineStr">
        <is>
          <t>DE-Mitte</t>
        </is>
      </c>
      <c r="D432" s="20" t="inlineStr">
        <is>
          <t>Kuehlware</t>
        </is>
      </c>
      <c r="E432" s="14" t="n">
        <v>26880</v>
      </c>
      <c r="F432" s="13" t="n">
        <v>91392</v>
      </c>
      <c r="G432" s="12" t="n">
        <v>72.8</v>
      </c>
      <c r="H432" s="12" t="n">
        <v>56</v>
      </c>
      <c r="I432" s="12">
        <f>IF($H432&gt;0,$H432,IFERROR($G432/Import_Mapping!$B$7,0))</f>
        <v/>
      </c>
    </row>
    <row r="433">
      <c r="A433" s="11" t="n">
        <v>45981</v>
      </c>
      <c r="B433" s="20" t="inlineStr">
        <is>
          <t>Sachsen Handel GmbH</t>
        </is>
      </c>
      <c r="C433" s="20" t="inlineStr">
        <is>
          <t>DE-Ost</t>
        </is>
      </c>
      <c r="D433" s="20" t="inlineStr">
        <is>
          <t>Trockensortiment</t>
        </is>
      </c>
      <c r="E433" s="14" t="n">
        <v>64296</v>
      </c>
      <c r="F433" s="13" t="n">
        <v>118947.6</v>
      </c>
      <c r="G433" s="12" t="n">
        <v>129.48</v>
      </c>
      <c r="H433" s="12" t="n">
        <v>89.3</v>
      </c>
      <c r="I433" s="12">
        <f>IF($H433&gt;0,$H433,IFERROR($G433/Import_Mapping!$B$7,0))</f>
        <v/>
      </c>
    </row>
    <row r="434">
      <c r="A434" s="11" t="n">
        <v>45981</v>
      </c>
      <c r="B434" s="20" t="inlineStr">
        <is>
          <t>Donau Handel AG</t>
        </is>
      </c>
      <c r="C434" s="20" t="inlineStr">
        <is>
          <t>DE-Sued</t>
        </is>
      </c>
      <c r="D434" s="20" t="inlineStr">
        <is>
          <t>Aktionsware</t>
        </is>
      </c>
      <c r="E434" s="14" t="n">
        <v>19908</v>
      </c>
      <c r="F434" s="13" t="n">
        <v>123429.6</v>
      </c>
      <c r="G434" s="12" t="n">
        <v>82.95</v>
      </c>
      <c r="H434" s="12" t="n">
        <v>55.3</v>
      </c>
      <c r="I434" s="12">
        <f>IF($H434&gt;0,$H434,IFERROR($G434/Import_Mapping!$B$7,0))</f>
        <v/>
      </c>
    </row>
    <row r="435">
      <c r="A435" s="11" t="n">
        <v>45982</v>
      </c>
      <c r="B435" s="20" t="inlineStr">
        <is>
          <t>Donau Handel AG</t>
        </is>
      </c>
      <c r="C435" s="20" t="inlineStr">
        <is>
          <t>DE-Sued</t>
        </is>
      </c>
      <c r="D435" s="20" t="inlineStr">
        <is>
          <t>Trockensortiment</t>
        </is>
      </c>
      <c r="E435" s="14" t="n">
        <v>120312</v>
      </c>
      <c r="F435" s="13" t="n">
        <v>222577.2</v>
      </c>
      <c r="G435" s="12" t="n">
        <v>242.29</v>
      </c>
      <c r="H435" s="12" t="n">
        <v>167.1</v>
      </c>
      <c r="I435" s="12">
        <f>IF($H435&gt;0,$H435,IFERROR($G435/Import_Mapping!$B$7,0))</f>
        <v/>
      </c>
    </row>
    <row r="436">
      <c r="A436" s="11" t="n">
        <v>45982</v>
      </c>
      <c r="B436" s="20" t="inlineStr">
        <is>
          <t>Westfilial AG</t>
        </is>
      </c>
      <c r="C436" s="20" t="inlineStr">
        <is>
          <t>DE-West</t>
        </is>
      </c>
      <c r="D436" s="20" t="inlineStr">
        <is>
          <t>Aktionsware</t>
        </is>
      </c>
      <c r="E436" s="14" t="n">
        <v>24444</v>
      </c>
      <c r="F436" s="13" t="n">
        <v>151552.8</v>
      </c>
      <c r="G436" s="12" t="n">
        <v>101.85</v>
      </c>
      <c r="H436" s="12" t="n">
        <v>67.90000000000001</v>
      </c>
      <c r="I436" s="12">
        <f>IF($H436&gt;0,$H436,IFERROR($G436/Import_Mapping!$B$7,0))</f>
        <v/>
      </c>
    </row>
    <row r="437">
      <c r="A437" s="11" t="n">
        <v>45982</v>
      </c>
      <c r="B437" s="20" t="inlineStr">
        <is>
          <t>Wisla Retail Sp.</t>
        </is>
      </c>
      <c r="C437" s="20" t="inlineStr">
        <is>
          <t>PL</t>
        </is>
      </c>
      <c r="D437" s="20" t="inlineStr">
        <is>
          <t>Kuehlware</t>
        </is>
      </c>
      <c r="E437" s="14" t="n">
        <v>7200</v>
      </c>
      <c r="F437" s="13" t="n">
        <v>24480</v>
      </c>
      <c r="G437" s="12" t="n">
        <v>19.5</v>
      </c>
      <c r="H437" s="12" t="n">
        <v>15</v>
      </c>
      <c r="I437" s="12">
        <f>IF($H437&gt;0,$H437,IFERROR($G437/Import_Mapping!$B$7,0))</f>
        <v/>
      </c>
    </row>
    <row r="438">
      <c r="A438" s="11" t="n">
        <v>45983</v>
      </c>
      <c r="B438" s="20" t="inlineStr">
        <is>
          <t>Hessen Vertrieb GmbH</t>
        </is>
      </c>
      <c r="C438" s="20" t="inlineStr">
        <is>
          <t>DE-Mitte</t>
        </is>
      </c>
      <c r="D438" s="20" t="inlineStr">
        <is>
          <t>Trockensortiment</t>
        </is>
      </c>
      <c r="E438" s="14" t="n">
        <v>77112</v>
      </c>
      <c r="F438" s="13" t="n">
        <v>142657.2</v>
      </c>
      <c r="G438" s="12" t="n">
        <v>155.29</v>
      </c>
      <c r="H438" s="12" t="n">
        <v>107.1</v>
      </c>
      <c r="I438" s="12">
        <f>IF($H438&gt;0,$H438,IFERROR($G438/Import_Mapping!$B$7,0))</f>
        <v/>
      </c>
    </row>
    <row r="439">
      <c r="A439" s="11" t="n">
        <v>45984</v>
      </c>
      <c r="B439" s="20" t="inlineStr">
        <is>
          <t>Sachsen Handel GmbH</t>
        </is>
      </c>
      <c r="C439" s="20" t="inlineStr">
        <is>
          <t>DE-Ost</t>
        </is>
      </c>
      <c r="D439" s="20" t="inlineStr">
        <is>
          <t>Getraenke</t>
        </is>
      </c>
      <c r="E439" s="14" t="n">
        <v>120672</v>
      </c>
      <c r="F439" s="13" t="n">
        <v>114638.4</v>
      </c>
      <c r="G439" s="12" t="n">
        <v>194.84</v>
      </c>
      <c r="H439" s="12" t="n">
        <v>125.7</v>
      </c>
      <c r="I439" s="12">
        <f>IF($H439&gt;0,$H439,IFERROR($G439/Import_Mapping!$B$7,0))</f>
        <v/>
      </c>
    </row>
    <row r="440">
      <c r="A440" s="11" t="n">
        <v>45984</v>
      </c>
      <c r="B440" s="20" t="inlineStr">
        <is>
          <t>Alpenmarkt GmbH</t>
        </is>
      </c>
      <c r="C440" s="20" t="inlineStr">
        <is>
          <t>DE-Sued</t>
        </is>
      </c>
      <c r="D440" s="20" t="inlineStr">
        <is>
          <t>Getraenke</t>
        </is>
      </c>
      <c r="E440" s="14" t="n">
        <v>221376</v>
      </c>
      <c r="F440" s="13" t="n">
        <v>210307.2</v>
      </c>
      <c r="G440" s="12" t="n">
        <v>357.43</v>
      </c>
      <c r="H440" s="12" t="n">
        <v>230.6</v>
      </c>
      <c r="I440" s="12">
        <f>IF($H440&gt;0,$H440,IFERROR($G440/Import_Mapping!$B$7,0))</f>
        <v/>
      </c>
    </row>
    <row r="441">
      <c r="A441" s="11" t="n">
        <v>45985</v>
      </c>
      <c r="B441" s="20" t="inlineStr">
        <is>
          <t>Hessen Vertrieb GmbH</t>
        </is>
      </c>
      <c r="C441" s="20" t="inlineStr">
        <is>
          <t>DE-Mitte</t>
        </is>
      </c>
      <c r="D441" s="20" t="inlineStr">
        <is>
          <t>Non-Food</t>
        </is>
      </c>
      <c r="E441" s="14" t="n">
        <v>9600</v>
      </c>
      <c r="F441" s="13" t="n">
        <v>120000</v>
      </c>
      <c r="G441" s="12" t="n">
        <v>64</v>
      </c>
      <c r="H441" s="12" t="n">
        <v>40</v>
      </c>
      <c r="I441" s="12">
        <f>IF($H441&gt;0,$H441,IFERROR($G441/Import_Mapping!$B$7,0))</f>
        <v/>
      </c>
    </row>
    <row r="442">
      <c r="A442" s="11" t="n">
        <v>45985</v>
      </c>
      <c r="B442" s="20" t="inlineStr">
        <is>
          <t>Spree Markt AG</t>
        </is>
      </c>
      <c r="C442" s="20" t="inlineStr">
        <is>
          <t>DE-Ost</t>
        </is>
      </c>
      <c r="D442" s="20" t="inlineStr">
        <is>
          <t>Aktionsware</t>
        </is>
      </c>
      <c r="E442" s="14" t="n">
        <v>12420</v>
      </c>
      <c r="F442" s="13" t="n">
        <v>77004</v>
      </c>
      <c r="G442" s="12" t="n">
        <v>51.75</v>
      </c>
      <c r="H442" s="12" t="n">
        <v>34.5</v>
      </c>
      <c r="I442" s="12">
        <f>IF($H442&gt;0,$H442,IFERROR($G442/Import_Mapping!$B$7,0))</f>
        <v/>
      </c>
    </row>
    <row r="443">
      <c r="A443" s="11" t="n">
        <v>45985</v>
      </c>
      <c r="B443" s="20" t="inlineStr">
        <is>
          <t>Ruhr Frische GmbH</t>
        </is>
      </c>
      <c r="C443" s="20" t="inlineStr">
        <is>
          <t>DE-West</t>
        </is>
      </c>
      <c r="D443" s="20" t="inlineStr">
        <is>
          <t>Trockensortiment</t>
        </is>
      </c>
      <c r="E443" s="14" t="n">
        <v>174024</v>
      </c>
      <c r="F443" s="13" t="n">
        <v>321944.4</v>
      </c>
      <c r="G443" s="12" t="n">
        <v>350.46</v>
      </c>
      <c r="H443" s="12" t="n">
        <v>241.7</v>
      </c>
      <c r="I443" s="12">
        <f>IF($H443&gt;0,$H443,IFERROR($G443/Import_Mapping!$B$7,0))</f>
        <v/>
      </c>
    </row>
    <row r="444">
      <c r="A444" s="11" t="n">
        <v>45986</v>
      </c>
      <c r="B444" s="20" t="inlineStr">
        <is>
          <t>Wisla Retail Sp.</t>
        </is>
      </c>
      <c r="C444" s="20" t="inlineStr">
        <is>
          <t>PL</t>
        </is>
      </c>
      <c r="D444" s="20" t="inlineStr">
        <is>
          <t>Getraenke</t>
        </is>
      </c>
      <c r="E444" s="14" t="n">
        <v>37824</v>
      </c>
      <c r="F444" s="13" t="n">
        <v>35932.8</v>
      </c>
      <c r="G444" s="12" t="n">
        <v>61.07</v>
      </c>
      <c r="H444" s="12" t="n">
        <v>39.4</v>
      </c>
      <c r="I444" s="12">
        <f>IF($H444&gt;0,$H444,IFERROR($G444/Import_Mapping!$B$7,0))</f>
        <v/>
      </c>
    </row>
    <row r="445">
      <c r="A445" s="11" t="n">
        <v>45992</v>
      </c>
      <c r="B445" s="20" t="inlineStr">
        <is>
          <t>Kuestenlager KG</t>
        </is>
      </c>
      <c r="C445" s="20" t="inlineStr">
        <is>
          <t>DE-Nord</t>
        </is>
      </c>
      <c r="D445" s="20" t="inlineStr">
        <is>
          <t>Trockensortiment</t>
        </is>
      </c>
      <c r="E445" s="14" t="n">
        <v>136512</v>
      </c>
      <c r="F445" s="13" t="n">
        <v>252547.2</v>
      </c>
      <c r="G445" s="12" t="n">
        <v>274.92</v>
      </c>
      <c r="H445" s="12" t="n">
        <v>189.6</v>
      </c>
      <c r="I445" s="12">
        <f>IF($H445&gt;0,$H445,IFERROR($G445/Import_Mapping!$B$7,0))</f>
        <v/>
      </c>
    </row>
    <row r="446">
      <c r="A446" s="11" t="n">
        <v>45992</v>
      </c>
      <c r="B446" s="20" t="inlineStr">
        <is>
          <t>Ruhr Frische GmbH</t>
        </is>
      </c>
      <c r="C446" s="20" t="inlineStr">
        <is>
          <t>DE-West</t>
        </is>
      </c>
      <c r="D446" s="20" t="inlineStr">
        <is>
          <t>Non-Food</t>
        </is>
      </c>
      <c r="E446" s="14" t="n">
        <v>15072</v>
      </c>
      <c r="F446" s="13" t="n">
        <v>188400</v>
      </c>
      <c r="G446" s="12" t="n">
        <v>100.48</v>
      </c>
      <c r="H446" s="12" t="n">
        <v>62.8</v>
      </c>
      <c r="I446" s="12">
        <f>IF($H446&gt;0,$H446,IFERROR($G446/Import_Mapping!$B$7,0))</f>
        <v/>
      </c>
    </row>
    <row r="447">
      <c r="A447" s="11" t="n">
        <v>45993</v>
      </c>
      <c r="B447" s="20" t="inlineStr">
        <is>
          <t>Austria Markt GmbH</t>
        </is>
      </c>
      <c r="C447" s="20" t="inlineStr">
        <is>
          <t>AT</t>
        </is>
      </c>
      <c r="D447" s="20" t="inlineStr">
        <is>
          <t>Non-Food</t>
        </is>
      </c>
      <c r="E447" s="14" t="n">
        <v>5088</v>
      </c>
      <c r="F447" s="13" t="n">
        <v>63600</v>
      </c>
      <c r="G447" s="12" t="n">
        <v>33.92</v>
      </c>
      <c r="H447" s="12" t="n">
        <v>21.2</v>
      </c>
      <c r="I447" s="12">
        <f>IF($H447&gt;0,$H447,IFERROR($G447/Import_Mapping!$B$7,0))</f>
        <v/>
      </c>
    </row>
    <row r="448">
      <c r="A448" s="11" t="n">
        <v>45993</v>
      </c>
      <c r="B448" s="20" t="inlineStr">
        <is>
          <t>Spree Markt AG</t>
        </is>
      </c>
      <c r="C448" s="20" t="inlineStr">
        <is>
          <t>DE-Ost</t>
        </is>
      </c>
      <c r="D448" s="20" t="inlineStr">
        <is>
          <t>Aktionsware</t>
        </is>
      </c>
      <c r="E448" s="14" t="n">
        <v>12132</v>
      </c>
      <c r="F448" s="13" t="n">
        <v>75218.39999999999</v>
      </c>
      <c r="G448" s="12" t="n">
        <v>50.55</v>
      </c>
      <c r="H448" s="12" t="n">
        <v>33.7</v>
      </c>
      <c r="I448" s="12">
        <f>IF($H448&gt;0,$H448,IFERROR($G448/Import_Mapping!$B$7,0))</f>
        <v/>
      </c>
    </row>
    <row r="449">
      <c r="A449" s="11" t="n">
        <v>45995</v>
      </c>
      <c r="B449" s="20" t="inlineStr">
        <is>
          <t>Spree Markt AG</t>
        </is>
      </c>
      <c r="C449" s="20" t="inlineStr">
        <is>
          <t>DE-Ost</t>
        </is>
      </c>
      <c r="D449" s="20" t="inlineStr">
        <is>
          <t>Kuehlware</t>
        </is>
      </c>
      <c r="E449" s="14" t="n">
        <v>31008</v>
      </c>
      <c r="F449" s="13" t="n">
        <v>105427.2</v>
      </c>
      <c r="G449" s="12" t="n">
        <v>83.98</v>
      </c>
      <c r="H449" s="12" t="n">
        <v>64.59999999999999</v>
      </c>
      <c r="I449" s="12">
        <f>IF($H449&gt;0,$H449,IFERROR($G449/Import_Mapping!$B$7,0))</f>
        <v/>
      </c>
    </row>
    <row r="450">
      <c r="A450" s="11" t="n">
        <v>45995</v>
      </c>
      <c r="B450" s="20" t="inlineStr">
        <is>
          <t>Delta Foods BV</t>
        </is>
      </c>
      <c r="C450" s="20" t="inlineStr">
        <is>
          <t>NL</t>
        </is>
      </c>
      <c r="D450" s="20" t="inlineStr">
        <is>
          <t>Non-Food</t>
        </is>
      </c>
      <c r="E450" s="14" t="n">
        <v>5760</v>
      </c>
      <c r="F450" s="13" t="n">
        <v>72000</v>
      </c>
      <c r="G450" s="12" t="n">
        <v>38.4</v>
      </c>
      <c r="H450" s="12" t="n">
        <v>24</v>
      </c>
      <c r="I450" s="12">
        <f>IF($H450&gt;0,$H450,IFERROR($G450/Import_Mapping!$B$7,0))</f>
        <v/>
      </c>
    </row>
    <row r="451">
      <c r="A451" s="11" t="n">
        <v>45996</v>
      </c>
      <c r="B451" s="20" t="inlineStr">
        <is>
          <t>Tirol Handel AG</t>
        </is>
      </c>
      <c r="C451" s="20" t="inlineStr">
        <is>
          <t>AT</t>
        </is>
      </c>
      <c r="D451" s="20" t="inlineStr">
        <is>
          <t>Aktionsware</t>
        </is>
      </c>
      <c r="E451" s="14" t="n">
        <v>5652</v>
      </c>
      <c r="F451" s="13" t="n">
        <v>35042.4</v>
      </c>
      <c r="G451" s="12" t="n">
        <v>23.55</v>
      </c>
      <c r="H451" s="12" t="n">
        <v>15.7</v>
      </c>
      <c r="I451" s="12">
        <f>IF($H451&gt;0,$H451,IFERROR($G451/Import_Mapping!$B$7,0))</f>
        <v/>
      </c>
    </row>
    <row r="452">
      <c r="A452" s="11" t="n">
        <v>45996</v>
      </c>
      <c r="B452" s="20" t="inlineStr">
        <is>
          <t>Delta Foods BV</t>
        </is>
      </c>
      <c r="C452" s="20" t="inlineStr">
        <is>
          <t>NL</t>
        </is>
      </c>
      <c r="D452" s="20" t="inlineStr">
        <is>
          <t>Aktionsware</t>
        </is>
      </c>
      <c r="E452" s="14" t="n">
        <v>6516</v>
      </c>
      <c r="F452" s="13" t="n">
        <v>40399.2</v>
      </c>
      <c r="G452" s="12" t="n">
        <v>27.15</v>
      </c>
      <c r="H452" s="12" t="n">
        <v>18.1</v>
      </c>
      <c r="I452" s="12">
        <f>IF($H452&gt;0,$H452,IFERROR($G452/Import_Mapping!$B$7,0))</f>
        <v/>
      </c>
    </row>
    <row r="453">
      <c r="A453" s="11" t="n">
        <v>45997</v>
      </c>
      <c r="B453" s="20" t="inlineStr">
        <is>
          <t>Ruhr Frische GmbH</t>
        </is>
      </c>
      <c r="C453" s="20" t="inlineStr">
        <is>
          <t>DE-West</t>
        </is>
      </c>
      <c r="D453" s="20" t="inlineStr">
        <is>
          <t>Aktionsware</t>
        </is>
      </c>
      <c r="E453" s="14" t="n">
        <v>19836</v>
      </c>
      <c r="F453" s="13" t="n">
        <v>122983.2</v>
      </c>
      <c r="G453" s="12" t="n">
        <v>82.65000000000001</v>
      </c>
      <c r="H453" s="12" t="n">
        <v>55.1</v>
      </c>
      <c r="I453" s="12">
        <f>IF($H453&gt;0,$H453,IFERROR($G453/Import_Mapping!$B$7,0))</f>
        <v/>
      </c>
    </row>
    <row r="454">
      <c r="A454" s="11" t="n">
        <v>45999</v>
      </c>
      <c r="B454" s="20" t="inlineStr">
        <is>
          <t>Sachsen Handel GmbH</t>
        </is>
      </c>
      <c r="C454" s="20" t="inlineStr">
        <is>
          <t>DE-Ost</t>
        </is>
      </c>
      <c r="D454" s="20" t="inlineStr">
        <is>
          <t>Getraenke</t>
        </is>
      </c>
      <c r="E454" s="14" t="n">
        <v>117024</v>
      </c>
      <c r="F454" s="13" t="n">
        <v>111172.8</v>
      </c>
      <c r="G454" s="12" t="n">
        <v>188.95</v>
      </c>
      <c r="H454" s="12" t="n">
        <v>121.9</v>
      </c>
      <c r="I454" s="12">
        <f>IF($H454&gt;0,$H454,IFERROR($G454/Import_Mapping!$B$7,0))</f>
        <v/>
      </c>
    </row>
    <row r="455">
      <c r="A455" s="11" t="n">
        <v>45999</v>
      </c>
      <c r="B455" s="20" t="inlineStr">
        <is>
          <t>Rheinland Retail SE</t>
        </is>
      </c>
      <c r="C455" s="20" t="inlineStr">
        <is>
          <t>DE-West</t>
        </is>
      </c>
      <c r="D455" s="20" t="inlineStr">
        <is>
          <t>Getraenke</t>
        </is>
      </c>
      <c r="E455" s="14" t="n">
        <v>204960</v>
      </c>
      <c r="F455" s="13" t="n">
        <v>194712</v>
      </c>
      <c r="G455" s="12" t="n">
        <v>330.93</v>
      </c>
      <c r="H455" s="12" t="n">
        <v>213.5</v>
      </c>
      <c r="I455" s="12">
        <f>IF($H455&gt;0,$H455,IFERROR($G455/Import_Mapping!$B$7,0))</f>
        <v/>
      </c>
    </row>
    <row r="456">
      <c r="A456" s="11" t="n">
        <v>46000</v>
      </c>
      <c r="B456" s="20" t="inlineStr">
        <is>
          <t>Randstad Retail BV</t>
        </is>
      </c>
      <c r="C456" s="20" t="inlineStr">
        <is>
          <t>NL</t>
        </is>
      </c>
      <c r="D456" s="20" t="inlineStr">
        <is>
          <t>Getraenke</t>
        </is>
      </c>
      <c r="E456" s="14" t="n">
        <v>47424</v>
      </c>
      <c r="F456" s="13" t="n">
        <v>45052.8</v>
      </c>
      <c r="G456" s="12" t="n">
        <v>76.56999999999999</v>
      </c>
      <c r="H456" s="12" t="n">
        <v>49.4</v>
      </c>
      <c r="I456" s="12">
        <f>IF($H456&gt;0,$H456,IFERROR($G456/Import_Mapping!$B$7,0))</f>
        <v/>
      </c>
    </row>
    <row r="457">
      <c r="A457" s="11" t="n">
        <v>46001</v>
      </c>
      <c r="B457" s="20" t="inlineStr">
        <is>
          <t>Austria Markt GmbH</t>
        </is>
      </c>
      <c r="C457" s="20" t="inlineStr">
        <is>
          <t>AT</t>
        </is>
      </c>
      <c r="D457" s="20" t="inlineStr">
        <is>
          <t>Kuehlware</t>
        </is>
      </c>
      <c r="E457" s="14" t="n">
        <v>13680</v>
      </c>
      <c r="F457" s="13" t="n">
        <v>46512</v>
      </c>
      <c r="G457" s="12" t="n">
        <v>37.05</v>
      </c>
      <c r="H457" s="12" t="n">
        <v>28.5</v>
      </c>
      <c r="I457" s="12">
        <f>IF($H457&gt;0,$H457,IFERROR($G457/Import_Mapping!$B$7,0))</f>
        <v/>
      </c>
    </row>
    <row r="458">
      <c r="A458" s="11" t="n">
        <v>46001</v>
      </c>
      <c r="B458" s="20" t="inlineStr">
        <is>
          <t>Hessen Vertrieb GmbH</t>
        </is>
      </c>
      <c r="C458" s="20" t="inlineStr">
        <is>
          <t>DE-Mitte</t>
        </is>
      </c>
      <c r="D458" s="20" t="inlineStr">
        <is>
          <t>Kuehlware</t>
        </is>
      </c>
      <c r="E458" s="14" t="n">
        <v>35232</v>
      </c>
      <c r="F458" s="13" t="n">
        <v>119788.8</v>
      </c>
      <c r="G458" s="12" t="n">
        <v>95.42</v>
      </c>
      <c r="H458" s="12" t="n">
        <v>73.40000000000001</v>
      </c>
      <c r="I458" s="12">
        <f>IF($H458&gt;0,$H458,IFERROR($G458/Import_Mapping!$B$7,0))</f>
        <v/>
      </c>
    </row>
    <row r="459">
      <c r="A459" s="11" t="n">
        <v>46002</v>
      </c>
      <c r="B459" s="20" t="inlineStr">
        <is>
          <t>Hessen Vertrieb GmbH</t>
        </is>
      </c>
      <c r="C459" s="20" t="inlineStr">
        <is>
          <t>DE-Mitte</t>
        </is>
      </c>
      <c r="D459" s="20" t="inlineStr">
        <is>
          <t>Aktionsware</t>
        </is>
      </c>
      <c r="E459" s="14" t="n">
        <v>14364</v>
      </c>
      <c r="F459" s="13" t="n">
        <v>89056.8</v>
      </c>
      <c r="G459" s="12" t="n">
        <v>59.85</v>
      </c>
      <c r="H459" s="12" t="n">
        <v>39.9</v>
      </c>
      <c r="I459" s="12">
        <f>IF($H459&gt;0,$H459,IFERROR($G459/Import_Mapping!$B$7,0))</f>
        <v/>
      </c>
    </row>
    <row r="460">
      <c r="A460" s="11" t="n">
        <v>46002</v>
      </c>
      <c r="B460" s="20" t="inlineStr">
        <is>
          <t>Mainpunkt Handel</t>
        </is>
      </c>
      <c r="C460" s="20" t="inlineStr">
        <is>
          <t>DE-Mitte</t>
        </is>
      </c>
      <c r="D460" s="20" t="inlineStr">
        <is>
          <t>Getraenke</t>
        </is>
      </c>
      <c r="E460" s="14" t="n">
        <v>115008</v>
      </c>
      <c r="F460" s="13" t="n">
        <v>109257.6</v>
      </c>
      <c r="G460" s="12" t="n">
        <v>185.69</v>
      </c>
      <c r="H460" s="12" t="n">
        <v>119.8</v>
      </c>
      <c r="I460" s="12">
        <f>IF($H460&gt;0,$H460,IFERROR($G460/Import_Mapping!$B$7,0))</f>
        <v/>
      </c>
    </row>
    <row r="461">
      <c r="A461" s="11" t="n">
        <v>46003</v>
      </c>
      <c r="B461" s="20" t="inlineStr">
        <is>
          <t>Mainpunkt Handel</t>
        </is>
      </c>
      <c r="C461" s="20" t="inlineStr">
        <is>
          <t>DE-Mitte</t>
        </is>
      </c>
      <c r="D461" s="20" t="inlineStr">
        <is>
          <t>Non-Food</t>
        </is>
      </c>
      <c r="E461" s="14" t="n">
        <v>9120</v>
      </c>
      <c r="F461" s="13" t="n">
        <v>114000</v>
      </c>
      <c r="G461" s="12" t="n">
        <v>60.8</v>
      </c>
      <c r="H461" s="12" t="n">
        <v>38</v>
      </c>
      <c r="I461" s="12">
        <f>IF($H461&gt;0,$H461,IFERROR($G461/Import_Mapping!$B$7,0))</f>
        <v/>
      </c>
    </row>
    <row r="462">
      <c r="A462" s="11" t="n">
        <v>46003</v>
      </c>
      <c r="B462" s="20" t="inlineStr">
        <is>
          <t>Odra Handel Sp.</t>
        </is>
      </c>
      <c r="C462" s="20" t="inlineStr">
        <is>
          <t>PL</t>
        </is>
      </c>
      <c r="D462" s="20" t="inlineStr">
        <is>
          <t>Non-Food</t>
        </is>
      </c>
      <c r="E462" s="14" t="n">
        <v>12936</v>
      </c>
      <c r="F462" s="13" t="n">
        <v>161700</v>
      </c>
      <c r="G462" s="12" t="n">
        <v>86.23999999999999</v>
      </c>
      <c r="H462" s="12" t="n">
        <v>53.9</v>
      </c>
      <c r="I462" s="12">
        <f>IF($H462&gt;0,$H462,IFERROR($G462/Import_Mapping!$B$7,0))</f>
        <v/>
      </c>
    </row>
    <row r="463">
      <c r="A463" s="11" t="n">
        <v>46004</v>
      </c>
      <c r="B463" s="20" t="inlineStr">
        <is>
          <t>Austria Markt GmbH</t>
        </is>
      </c>
      <c r="C463" s="20" t="inlineStr">
        <is>
          <t>AT</t>
        </is>
      </c>
      <c r="D463" s="20" t="inlineStr">
        <is>
          <t>Trockensortiment</t>
        </is>
      </c>
      <c r="E463" s="14" t="n">
        <v>37728</v>
      </c>
      <c r="F463" s="13" t="n">
        <v>69796.8</v>
      </c>
      <c r="G463" s="12" t="n">
        <v>75.98</v>
      </c>
      <c r="H463" s="12" t="n">
        <v>52.4</v>
      </c>
      <c r="I463" s="12">
        <f>IF($H463&gt;0,$H463,IFERROR($G463/Import_Mapping!$B$7,0))</f>
        <v/>
      </c>
    </row>
    <row r="464">
      <c r="A464" s="11" t="n">
        <v>46004</v>
      </c>
      <c r="B464" s="20" t="inlineStr">
        <is>
          <t>Donau Handel AG</t>
        </is>
      </c>
      <c r="C464" s="20" t="inlineStr">
        <is>
          <t>DE-Sued</t>
        </is>
      </c>
      <c r="D464" s="20" t="inlineStr">
        <is>
          <t>Trockensortiment</t>
        </is>
      </c>
      <c r="E464" s="14" t="n">
        <v>135864</v>
      </c>
      <c r="F464" s="13" t="n">
        <v>251348.4</v>
      </c>
      <c r="G464" s="12" t="n">
        <v>273.61</v>
      </c>
      <c r="H464" s="12" t="n">
        <v>188.7</v>
      </c>
      <c r="I464" s="12">
        <f>IF($H464&gt;0,$H464,IFERROR($G464/Import_Mapping!$B$7,0))</f>
        <v/>
      </c>
    </row>
    <row r="465">
      <c r="A465" s="11" t="n">
        <v>46006</v>
      </c>
      <c r="B465" s="20" t="inlineStr">
        <is>
          <t>Sued Filialen KG</t>
        </is>
      </c>
      <c r="C465" s="20" t="inlineStr">
        <is>
          <t>DE-Sued</t>
        </is>
      </c>
      <c r="D465" s="20" t="inlineStr">
        <is>
          <t>Getraenke</t>
        </is>
      </c>
      <c r="E465" s="14" t="n">
        <v>192192</v>
      </c>
      <c r="F465" s="13" t="n">
        <v>182582.4</v>
      </c>
      <c r="G465" s="12" t="n">
        <v>310.31</v>
      </c>
      <c r="H465" s="12" t="n">
        <v>200.2</v>
      </c>
      <c r="I465" s="12">
        <f>IF($H465&gt;0,$H465,IFERROR($G465/Import_Mapping!$B$7,0))</f>
        <v/>
      </c>
    </row>
    <row r="466">
      <c r="A466" s="11" t="n">
        <v>46006</v>
      </c>
      <c r="B466" s="20" t="inlineStr">
        <is>
          <t>Donau Handel AG</t>
        </is>
      </c>
      <c r="C466" s="20" t="inlineStr">
        <is>
          <t>DE-Sued</t>
        </is>
      </c>
      <c r="D466" s="20" t="inlineStr">
        <is>
          <t>Kuehlware</t>
        </is>
      </c>
      <c r="E466" s="14" t="n">
        <v>42336</v>
      </c>
      <c r="F466" s="13" t="n">
        <v>143942.4</v>
      </c>
      <c r="G466" s="12" t="n">
        <v>114.66</v>
      </c>
      <c r="H466" s="12" t="n">
        <v>88.2</v>
      </c>
      <c r="I466" s="12">
        <f>IF($H466&gt;0,$H466,IFERROR($G466/Import_Mapping!$B$7,0))</f>
        <v/>
      </c>
    </row>
    <row r="467">
      <c r="A467" s="11" t="n">
        <v>46007</v>
      </c>
      <c r="B467" s="20" t="inlineStr">
        <is>
          <t>Donau Handel AG</t>
        </is>
      </c>
      <c r="C467" s="20" t="inlineStr">
        <is>
          <t>DE-Sued</t>
        </is>
      </c>
      <c r="D467" s="20" t="inlineStr">
        <is>
          <t>Non-Food</t>
        </is>
      </c>
      <c r="E467" s="14" t="n">
        <v>11904</v>
      </c>
      <c r="F467" s="13" t="n">
        <v>148800</v>
      </c>
      <c r="G467" s="12" t="n">
        <v>79.36</v>
      </c>
      <c r="H467" s="12" t="n">
        <v>49.6</v>
      </c>
      <c r="I467" s="12">
        <f>IF($H467&gt;0,$H467,IFERROR($G467/Import_Mapping!$B$7,0))</f>
        <v/>
      </c>
    </row>
    <row r="468">
      <c r="A468" s="11" t="n">
        <v>46007</v>
      </c>
      <c r="B468" s="20" t="inlineStr">
        <is>
          <t>Rheinland Retail SE</t>
        </is>
      </c>
      <c r="C468" s="20" t="inlineStr">
        <is>
          <t>DE-West</t>
        </is>
      </c>
      <c r="D468" s="20" t="inlineStr">
        <is>
          <t>Trockensortiment</t>
        </is>
      </c>
      <c r="E468" s="14" t="n">
        <v>179136</v>
      </c>
      <c r="F468" s="13" t="n">
        <v>331401.6</v>
      </c>
      <c r="G468" s="12" t="n">
        <v>360.76</v>
      </c>
      <c r="H468" s="12" t="n">
        <v>248.8</v>
      </c>
      <c r="I468" s="12">
        <f>IF($H468&gt;0,$H468,IFERROR($G468/Import_Mapping!$B$7,0))</f>
        <v/>
      </c>
    </row>
    <row r="469">
      <c r="A469" s="11" t="n">
        <v>46007</v>
      </c>
      <c r="B469" s="20" t="inlineStr">
        <is>
          <t>Randstad Retail BV</t>
        </is>
      </c>
      <c r="C469" s="20" t="inlineStr">
        <is>
          <t>NL</t>
        </is>
      </c>
      <c r="D469" s="20" t="inlineStr">
        <is>
          <t>Trockensortiment</t>
        </is>
      </c>
      <c r="E469" s="14" t="n">
        <v>48960</v>
      </c>
      <c r="F469" s="13" t="n">
        <v>90576</v>
      </c>
      <c r="G469" s="12" t="n">
        <v>98.59999999999999</v>
      </c>
      <c r="H469" s="12" t="n">
        <v>68</v>
      </c>
      <c r="I469" s="12">
        <f>IF($H469&gt;0,$H469,IFERROR($G469/Import_Mapping!$B$7,0))</f>
        <v/>
      </c>
    </row>
    <row r="470">
      <c r="A470" s="11" t="n">
        <v>46008</v>
      </c>
      <c r="B470" s="20" t="inlineStr">
        <is>
          <t>Nordmarkt AG</t>
        </is>
      </c>
      <c r="C470" s="20" t="inlineStr">
        <is>
          <t>DE-Nord</t>
        </is>
      </c>
      <c r="D470" s="20" t="inlineStr">
        <is>
          <t>Non-Food</t>
        </is>
      </c>
      <c r="E470" s="14" t="n">
        <v>11928</v>
      </c>
      <c r="F470" s="13" t="n">
        <v>149100</v>
      </c>
      <c r="G470" s="12" t="n">
        <v>79.52</v>
      </c>
      <c r="H470" s="12" t="n">
        <v>49.7</v>
      </c>
      <c r="I470" s="12">
        <f>IF($H470&gt;0,$H470,IFERROR($G470/Import_Mapping!$B$7,0))</f>
        <v/>
      </c>
    </row>
    <row r="471">
      <c r="A471" s="11" t="n">
        <v>46008</v>
      </c>
      <c r="B471" s="20" t="inlineStr">
        <is>
          <t>Donau Handel AG</t>
        </is>
      </c>
      <c r="C471" s="20" t="inlineStr">
        <is>
          <t>DE-Sued</t>
        </is>
      </c>
      <c r="D471" s="20" t="inlineStr">
        <is>
          <t>Aktionsware</t>
        </is>
      </c>
      <c r="E471" s="14" t="n">
        <v>17208</v>
      </c>
      <c r="F471" s="13" t="n">
        <v>106689.6</v>
      </c>
      <c r="G471" s="12" t="n">
        <v>71.7</v>
      </c>
      <c r="H471" s="12" t="n">
        <v>47.8</v>
      </c>
      <c r="I471" s="12">
        <f>IF($H471&gt;0,$H471,IFERROR($G471/Import_Mapping!$B$7,0))</f>
        <v/>
      </c>
    </row>
    <row r="472">
      <c r="A472" s="11" t="n">
        <v>46008</v>
      </c>
      <c r="B472" s="20" t="inlineStr">
        <is>
          <t>Odra Handel Sp.</t>
        </is>
      </c>
      <c r="C472" s="20" t="inlineStr">
        <is>
          <t>PL</t>
        </is>
      </c>
      <c r="D472" s="20" t="inlineStr">
        <is>
          <t>Aktionsware</t>
        </is>
      </c>
      <c r="E472" s="14" t="n">
        <v>26064</v>
      </c>
      <c r="F472" s="13" t="n">
        <v>161596.8</v>
      </c>
      <c r="G472" s="12" t="n">
        <v>108.6</v>
      </c>
      <c r="H472" s="12" t="n">
        <v>72.40000000000001</v>
      </c>
      <c r="I472" s="12">
        <f>IF($H472&gt;0,$H472,IFERROR($G472/Import_Mapping!$B$7,0))</f>
        <v/>
      </c>
    </row>
    <row r="473">
      <c r="A473" s="11" t="n">
        <v>46009</v>
      </c>
      <c r="B473" s="20" t="inlineStr">
        <is>
          <t>Odra Handel Sp.</t>
        </is>
      </c>
      <c r="C473" s="20" t="inlineStr">
        <is>
          <t>PL</t>
        </is>
      </c>
      <c r="D473" s="20" t="inlineStr">
        <is>
          <t>Kuehlware</t>
        </is>
      </c>
      <c r="E473" s="14" t="n">
        <v>7728</v>
      </c>
      <c r="F473" s="13" t="n">
        <v>26275.2</v>
      </c>
      <c r="G473" s="12" t="n">
        <v>20.93</v>
      </c>
      <c r="H473" s="12" t="n">
        <v>16.1</v>
      </c>
      <c r="I473" s="12">
        <f>IF($H473&gt;0,$H473,IFERROR($G473/Import_Mapping!$B$7,0))</f>
        <v/>
      </c>
    </row>
    <row r="474">
      <c r="A474" s="11" t="n">
        <v>46009</v>
      </c>
      <c r="B474" s="20" t="inlineStr">
        <is>
          <t>Odra Handel Sp.</t>
        </is>
      </c>
      <c r="C474" s="20" t="inlineStr">
        <is>
          <t>PL</t>
        </is>
      </c>
      <c r="D474" s="20" t="inlineStr">
        <is>
          <t>Trockensortiment</t>
        </is>
      </c>
      <c r="E474" s="14" t="n">
        <v>26712</v>
      </c>
      <c r="F474" s="13" t="n">
        <v>49417.2</v>
      </c>
      <c r="G474" s="12" t="n">
        <v>53.8</v>
      </c>
      <c r="H474" s="12" t="n">
        <v>37.1</v>
      </c>
      <c r="I474" s="12">
        <f>IF($H474&gt;0,$H474,IFERROR($G474/Import_Mapping!$B$7,0))</f>
        <v/>
      </c>
    </row>
    <row r="475">
      <c r="A475" s="11" t="n">
        <v>46010</v>
      </c>
      <c r="B475" s="20" t="inlineStr">
        <is>
          <t>Kuestenlager KG</t>
        </is>
      </c>
      <c r="C475" s="20" t="inlineStr">
        <is>
          <t>DE-Nord</t>
        </is>
      </c>
      <c r="D475" s="20" t="inlineStr">
        <is>
          <t>Aktionsware</t>
        </is>
      </c>
      <c r="E475" s="14" t="n">
        <v>14616</v>
      </c>
      <c r="F475" s="13" t="n">
        <v>90619.2</v>
      </c>
      <c r="G475" s="12" t="n">
        <v>60.9</v>
      </c>
      <c r="H475" s="12" t="n">
        <v>40.6</v>
      </c>
      <c r="I475" s="12">
        <f>IF($H475&gt;0,$H475,IFERROR($G475/Import_Mapping!$B$7,0))</f>
        <v/>
      </c>
    </row>
    <row r="476">
      <c r="A476" s="11" t="n">
        <v>46011</v>
      </c>
      <c r="B476" s="20" t="inlineStr">
        <is>
          <t>Mainpunkt Handel</t>
        </is>
      </c>
      <c r="C476" s="20" t="inlineStr">
        <is>
          <t>DE-Mitte</t>
        </is>
      </c>
      <c r="D476" s="20" t="inlineStr">
        <is>
          <t>Trockensortiment</t>
        </is>
      </c>
      <c r="E476" s="14" t="n">
        <v>81432</v>
      </c>
      <c r="F476" s="13" t="n">
        <v>150649.2</v>
      </c>
      <c r="G476" s="12" t="n">
        <v>163.99</v>
      </c>
      <c r="H476" s="12" t="n">
        <v>113.1</v>
      </c>
      <c r="I476" s="12">
        <f>IF($H476&gt;0,$H476,IFERROR($G476/Import_Mapping!$B$7,0))</f>
        <v/>
      </c>
    </row>
    <row r="477">
      <c r="A477" s="11" t="n">
        <v>46011</v>
      </c>
      <c r="B477" s="20" t="inlineStr">
        <is>
          <t>Elbe Handel GmbH</t>
        </is>
      </c>
      <c r="C477" s="20" t="inlineStr">
        <is>
          <t>DE-Nord</t>
        </is>
      </c>
      <c r="D477" s="20" t="inlineStr">
        <is>
          <t>Getraenke</t>
        </is>
      </c>
      <c r="E477" s="14" t="n">
        <v>133152</v>
      </c>
      <c r="F477" s="13" t="n">
        <v>126494.4</v>
      </c>
      <c r="G477" s="12" t="n">
        <v>214.98</v>
      </c>
      <c r="H477" s="12" t="n">
        <v>138.7</v>
      </c>
      <c r="I477" s="12">
        <f>IF($H477&gt;0,$H477,IFERROR($G477/Import_Mapping!$B$7,0))</f>
        <v/>
      </c>
    </row>
    <row r="478">
      <c r="A478" s="11" t="n">
        <v>46013</v>
      </c>
      <c r="B478" s="20" t="inlineStr">
        <is>
          <t>Spree Markt AG</t>
        </is>
      </c>
      <c r="C478" s="20" t="inlineStr">
        <is>
          <t>DE-Ost</t>
        </is>
      </c>
      <c r="D478" s="20" t="inlineStr">
        <is>
          <t>Trockensortiment</t>
        </is>
      </c>
      <c r="E478" s="14" t="n">
        <v>67392</v>
      </c>
      <c r="F478" s="13" t="n">
        <v>124675.2</v>
      </c>
      <c r="G478" s="12" t="n">
        <v>135.72</v>
      </c>
      <c r="H478" s="12" t="n">
        <v>93.59999999999999</v>
      </c>
      <c r="I478" s="12">
        <f>IF($H478&gt;0,$H478,IFERROR($G478/Import_Mapping!$B$7,0))</f>
        <v/>
      </c>
    </row>
    <row r="479">
      <c r="A479" s="11" t="n">
        <v>46014</v>
      </c>
      <c r="B479" s="20" t="inlineStr">
        <is>
          <t>Nordmarkt AG</t>
        </is>
      </c>
      <c r="C479" s="20" t="inlineStr">
        <is>
          <t>DE-Nord</t>
        </is>
      </c>
      <c r="D479" s="20" t="inlineStr">
        <is>
          <t>Kuehlware</t>
        </is>
      </c>
      <c r="E479" s="14" t="n">
        <v>56976</v>
      </c>
      <c r="F479" s="13" t="n">
        <v>193718.4</v>
      </c>
      <c r="G479" s="12" t="n">
        <v>154.31</v>
      </c>
      <c r="H479" s="12" t="n">
        <v>118.7</v>
      </c>
      <c r="I479" s="12">
        <f>IF($H479&gt;0,$H479,IFERROR($G479/Import_Mapping!$B$7,0))</f>
        <v/>
      </c>
    </row>
    <row r="480">
      <c r="A480" s="11" t="n">
        <v>46015</v>
      </c>
      <c r="B480" s="20" t="inlineStr">
        <is>
          <t>Austria Markt GmbH</t>
        </is>
      </c>
      <c r="C480" s="20" t="inlineStr">
        <is>
          <t>AT</t>
        </is>
      </c>
      <c r="D480" s="20" t="inlineStr">
        <is>
          <t>Getraenke</t>
        </is>
      </c>
      <c r="E480" s="14" t="n">
        <v>57120</v>
      </c>
      <c r="F480" s="13" t="n">
        <v>54264</v>
      </c>
      <c r="G480" s="12" t="n">
        <v>92.23</v>
      </c>
      <c r="H480" s="12" t="n">
        <v>59.5</v>
      </c>
      <c r="I480" s="12">
        <f>IF($H480&gt;0,$H480,IFERROR($G480/Import_Mapping!$B$7,0))</f>
        <v/>
      </c>
    </row>
    <row r="481">
      <c r="A481" s="11" t="n">
        <v>46015</v>
      </c>
      <c r="B481" s="20" t="inlineStr">
        <is>
          <t>Wisla Retail Sp.</t>
        </is>
      </c>
      <c r="C481" s="20" t="inlineStr">
        <is>
          <t>PL</t>
        </is>
      </c>
      <c r="D481" s="20" t="inlineStr">
        <is>
          <t>Getraenke</t>
        </is>
      </c>
      <c r="E481" s="14" t="n">
        <v>34176</v>
      </c>
      <c r="F481" s="13" t="n">
        <v>32467.2</v>
      </c>
      <c r="G481" s="12" t="n">
        <v>55.18</v>
      </c>
      <c r="H481" s="12" t="n">
        <v>35.6</v>
      </c>
      <c r="I481" s="12">
        <f>IF($H481&gt;0,$H481,IFERROR($G481/Import_Mapping!$B$7,0))</f>
        <v/>
      </c>
    </row>
    <row r="482">
      <c r="A482" s="11" t="n">
        <v>46016</v>
      </c>
      <c r="B482" s="20" t="inlineStr">
        <is>
          <t>Spree Markt AG</t>
        </is>
      </c>
      <c r="C482" s="20" t="inlineStr">
        <is>
          <t>DE-Ost</t>
        </is>
      </c>
      <c r="D482" s="20" t="inlineStr">
        <is>
          <t>Non-Food</t>
        </is>
      </c>
      <c r="E482" s="14" t="n">
        <v>7128</v>
      </c>
      <c r="F482" s="13" t="n">
        <v>89100</v>
      </c>
      <c r="G482" s="12" t="n">
        <v>47.52</v>
      </c>
      <c r="H482" s="12" t="n">
        <v>29.7</v>
      </c>
      <c r="I482" s="12">
        <f>IF($H482&gt;0,$H482,IFERROR($G482/Import_Mapping!$B$7,0))</f>
        <v/>
      </c>
    </row>
    <row r="483">
      <c r="A483" s="11" t="n">
        <v>46016</v>
      </c>
      <c r="B483" s="20" t="inlineStr">
        <is>
          <t>Rheinland Retail SE</t>
        </is>
      </c>
      <c r="C483" s="20" t="inlineStr">
        <is>
          <t>DE-West</t>
        </is>
      </c>
      <c r="D483" s="20" t="inlineStr">
        <is>
          <t>Kuehlware</t>
        </is>
      </c>
      <c r="E483" s="14" t="n">
        <v>60192</v>
      </c>
      <c r="F483" s="13" t="n">
        <v>204652.8</v>
      </c>
      <c r="G483" s="12" t="n">
        <v>163.02</v>
      </c>
      <c r="H483" s="12" t="n">
        <v>125.4</v>
      </c>
      <c r="I483" s="12">
        <f>IF($H483&gt;0,$H483,IFERROR($G483/Import_Mapping!$B$7,0))</f>
        <v/>
      </c>
    </row>
    <row r="484">
      <c r="A484" s="11" t="n">
        <v>46016</v>
      </c>
      <c r="B484" s="20" t="inlineStr">
        <is>
          <t>Delta Foods BV</t>
        </is>
      </c>
      <c r="C484" s="20" t="inlineStr">
        <is>
          <t>NL</t>
        </is>
      </c>
      <c r="D484" s="20" t="inlineStr">
        <is>
          <t>Kuehlware</t>
        </is>
      </c>
      <c r="E484" s="14" t="n">
        <v>25152</v>
      </c>
      <c r="F484" s="13" t="n">
        <v>85516.8</v>
      </c>
      <c r="G484" s="12" t="n">
        <v>68.12</v>
      </c>
      <c r="H484" s="12" t="n">
        <v>52.4</v>
      </c>
      <c r="I484" s="12">
        <f>IF($H484&gt;0,$H484,IFERROR($G484/Import_Mapping!$B$7,0))</f>
        <v/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K24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3" customWidth="1" min="1" max="1"/>
    <col width="22" customWidth="1" min="2" max="2"/>
    <col width="13" customWidth="1" min="3" max="3"/>
    <col width="19" customWidth="1" min="4" max="4"/>
    <col width="14" customWidth="1" min="5" max="5"/>
    <col width="15" customWidth="1" min="6" max="6"/>
    <col width="17" customWidth="1" min="7" max="7"/>
    <col width="12" customWidth="1" min="8" max="8"/>
    <col width="19" customWidth="1" min="9" max="9"/>
    <col width="60" customWidth="1" min="11" max="11"/>
  </cols>
  <sheetData>
    <row r="1" ht="24" customHeight="1">
      <c r="A1" s="1" t="inlineStr">
        <is>
          <t>Import – Forecast-Daten (zukünftige Perioden)</t>
        </is>
      </c>
    </row>
    <row r="2">
      <c r="A2" s="2" t="inlineStr">
        <is>
          <t>Gleicher Aufbau wie die Historie, jedoch für extern erstellte Forecast-Daten mit eigener Quelldatei und eigenem Import-Button.</t>
        </is>
      </c>
      <c r="K2" s="3" t="inlineStr">
        <is>
          <t>Hinweis: Alle Auswertungen lesen die Zeilen 5 bis 5004. Enthält die Quelle mehr Zeilen, muss dieses Fenster in den Formeln erweitert werden.</t>
        </is>
      </c>
    </row>
    <row r="4" ht="30" customHeight="1">
      <c r="A4" s="10" t="inlineStr">
        <is>
          <t>Datum</t>
        </is>
      </c>
      <c r="B4" s="10" t="inlineStr">
        <is>
          <t>Kunde</t>
        </is>
      </c>
      <c r="C4" s="10" t="inlineStr">
        <is>
          <t>Land/Region</t>
        </is>
      </c>
      <c r="D4" s="10" t="inlineStr">
        <is>
          <t>Produktkategorie</t>
        </is>
      </c>
      <c r="E4" s="10" t="inlineStr">
        <is>
          <t>Menge (Stück)</t>
        </is>
      </c>
      <c r="F4" s="10" t="inlineStr">
        <is>
          <t>EUR-Umsatz</t>
        </is>
      </c>
      <c r="G4" s="10" t="inlineStr">
        <is>
          <t>Transportvolumen</t>
        </is>
      </c>
      <c r="H4" s="10" t="inlineStr">
        <is>
          <t>Paletten</t>
        </is>
      </c>
      <c r="I4" s="10" t="inlineStr">
        <is>
          <t>Paletten-Äquivalent</t>
        </is>
      </c>
    </row>
    <row r="5">
      <c r="A5" s="11" t="n">
        <v>46023</v>
      </c>
      <c r="B5" s="20" t="inlineStr">
        <is>
          <t>Mainpunkt Handel</t>
        </is>
      </c>
      <c r="C5" s="20" t="inlineStr">
        <is>
          <t>DE-Mitte</t>
        </is>
      </c>
      <c r="D5" s="20" t="inlineStr">
        <is>
          <t>Trockensortiment</t>
        </is>
      </c>
      <c r="E5" s="14" t="n">
        <v>87264</v>
      </c>
      <c r="F5" s="13" t="n">
        <v>161438.4</v>
      </c>
      <c r="G5" s="12" t="n">
        <v>175.74</v>
      </c>
      <c r="H5" s="12" t="n">
        <v>121.2</v>
      </c>
      <c r="I5" s="12">
        <f>IF($H5&gt;0,$H5,IFERROR($G5/Import_Mapping!$B$7,0))</f>
        <v/>
      </c>
    </row>
    <row r="6">
      <c r="A6" s="11" t="n">
        <v>46024</v>
      </c>
      <c r="B6" s="20" t="inlineStr">
        <is>
          <t>Tirol Handel AG</t>
        </is>
      </c>
      <c r="C6" s="20" t="inlineStr">
        <is>
          <t>AT</t>
        </is>
      </c>
      <c r="D6" s="20" t="inlineStr">
        <is>
          <t>Aktionsware</t>
        </is>
      </c>
      <c r="E6" s="14" t="n">
        <v>4500</v>
      </c>
      <c r="F6" s="13" t="n">
        <v>27900</v>
      </c>
      <c r="G6" s="12" t="n">
        <v>18.75</v>
      </c>
      <c r="H6" s="12" t="n">
        <v>12.5</v>
      </c>
      <c r="I6" s="12">
        <f>IF($H6&gt;0,$H6,IFERROR($G6/Import_Mapping!$B$7,0))</f>
        <v/>
      </c>
    </row>
    <row r="7">
      <c r="A7" s="11" t="n">
        <v>46025</v>
      </c>
      <c r="B7" s="20" t="inlineStr">
        <is>
          <t>Donau Handel AG</t>
        </is>
      </c>
      <c r="C7" s="20" t="inlineStr">
        <is>
          <t>DE-Sued</t>
        </is>
      </c>
      <c r="D7" s="20" t="inlineStr">
        <is>
          <t>Kuehlware</t>
        </is>
      </c>
      <c r="E7" s="14" t="n">
        <v>48480</v>
      </c>
      <c r="F7" s="13" t="n">
        <v>164832</v>
      </c>
      <c r="G7" s="12" t="n">
        <v>131.3</v>
      </c>
      <c r="H7" s="12" t="n">
        <v>101</v>
      </c>
      <c r="I7" s="12">
        <f>IF($H7&gt;0,$H7,IFERROR($G7/Import_Mapping!$B$7,0))</f>
        <v/>
      </c>
    </row>
    <row r="8">
      <c r="A8" s="11" t="n">
        <v>46025</v>
      </c>
      <c r="B8" s="20" t="inlineStr">
        <is>
          <t>Wisla Retail Sp.</t>
        </is>
      </c>
      <c r="C8" s="20" t="inlineStr">
        <is>
          <t>PL</t>
        </is>
      </c>
      <c r="D8" s="20" t="inlineStr">
        <is>
          <t>Aktionsware</t>
        </is>
      </c>
      <c r="E8" s="14" t="n">
        <v>25416</v>
      </c>
      <c r="F8" s="13" t="n">
        <v>157579.2</v>
      </c>
      <c r="G8" s="12" t="n">
        <v>105.9</v>
      </c>
      <c r="H8" s="12" t="n">
        <v>70.59999999999999</v>
      </c>
      <c r="I8" s="12">
        <f>IF($H8&gt;0,$H8,IFERROR($G8/Import_Mapping!$B$7,0))</f>
        <v/>
      </c>
    </row>
    <row r="9">
      <c r="A9" s="11" t="n">
        <v>46026</v>
      </c>
      <c r="B9" s="20" t="inlineStr">
        <is>
          <t>Spree Markt AG</t>
        </is>
      </c>
      <c r="C9" s="20" t="inlineStr">
        <is>
          <t>DE-Ost</t>
        </is>
      </c>
      <c r="D9" s="20" t="inlineStr">
        <is>
          <t>Non-Food</t>
        </is>
      </c>
      <c r="E9" s="14" t="n">
        <v>7752</v>
      </c>
      <c r="F9" s="13" t="n">
        <v>96900</v>
      </c>
      <c r="G9" s="12" t="n">
        <v>51.68</v>
      </c>
      <c r="H9" s="12" t="n">
        <v>32.3</v>
      </c>
      <c r="I9" s="12">
        <f>IF($H9&gt;0,$H9,IFERROR($G9/Import_Mapping!$B$7,0))</f>
        <v/>
      </c>
    </row>
    <row r="10">
      <c r="A10" s="11" t="n">
        <v>46026</v>
      </c>
      <c r="B10" s="20" t="inlineStr">
        <is>
          <t>Spree Markt AG</t>
        </is>
      </c>
      <c r="C10" s="20" t="inlineStr">
        <is>
          <t>DE-Ost</t>
        </is>
      </c>
      <c r="D10" s="20" t="inlineStr">
        <is>
          <t>Trockensortiment</t>
        </is>
      </c>
      <c r="E10" s="14" t="n">
        <v>66744</v>
      </c>
      <c r="F10" s="13" t="n">
        <v>123476.4</v>
      </c>
      <c r="G10" s="12" t="n">
        <v>134.41</v>
      </c>
      <c r="H10" s="12" t="n">
        <v>92.7</v>
      </c>
      <c r="I10" s="12">
        <f>IF($H10&gt;0,$H10,IFERROR($G10/Import_Mapping!$B$7,0))</f>
        <v/>
      </c>
    </row>
    <row r="11">
      <c r="A11" s="11" t="n">
        <v>46026</v>
      </c>
      <c r="B11" s="20" t="inlineStr">
        <is>
          <t>Randstad Retail BV</t>
        </is>
      </c>
      <c r="C11" s="20" t="inlineStr">
        <is>
          <t>NL</t>
        </is>
      </c>
      <c r="D11" s="20" t="inlineStr">
        <is>
          <t>Aktionsware</t>
        </is>
      </c>
      <c r="E11" s="14" t="n">
        <v>6012</v>
      </c>
      <c r="F11" s="13" t="n">
        <v>37274.4</v>
      </c>
      <c r="G11" s="12" t="n">
        <v>25.05</v>
      </c>
      <c r="H11" s="12" t="n">
        <v>16.7</v>
      </c>
      <c r="I11" s="12">
        <f>IF($H11&gt;0,$H11,IFERROR($G11/Import_Mapping!$B$7,0))</f>
        <v/>
      </c>
    </row>
    <row r="12">
      <c r="A12" s="11" t="n">
        <v>46027</v>
      </c>
      <c r="B12" s="20" t="inlineStr">
        <is>
          <t>Alpenmarkt GmbH</t>
        </is>
      </c>
      <c r="C12" s="20" t="inlineStr">
        <is>
          <t>DE-Sued</t>
        </is>
      </c>
      <c r="D12" s="20" t="inlineStr">
        <is>
          <t>Aktionsware</t>
        </is>
      </c>
      <c r="E12" s="14" t="n">
        <v>15300</v>
      </c>
      <c r="F12" s="13" t="n">
        <v>94860</v>
      </c>
      <c r="G12" s="12" t="n">
        <v>63.75</v>
      </c>
      <c r="H12" s="12" t="n">
        <v>42.5</v>
      </c>
      <c r="I12" s="12">
        <f>IF($H12&gt;0,$H12,IFERROR($G12/Import_Mapping!$B$7,0))</f>
        <v/>
      </c>
    </row>
    <row r="13">
      <c r="A13" s="11" t="n">
        <v>46028</v>
      </c>
      <c r="B13" s="20" t="inlineStr">
        <is>
          <t>Elbe Handel GmbH</t>
        </is>
      </c>
      <c r="C13" s="20" t="inlineStr">
        <is>
          <t>DE-Nord</t>
        </is>
      </c>
      <c r="D13" s="20" t="inlineStr">
        <is>
          <t>Kuehlware</t>
        </is>
      </c>
      <c r="E13" s="14" t="n">
        <v>51888</v>
      </c>
      <c r="F13" s="13" t="n">
        <v>176419.2</v>
      </c>
      <c r="G13" s="12" t="n">
        <v>140.53</v>
      </c>
      <c r="H13" s="12" t="n">
        <v>108.1</v>
      </c>
      <c r="I13" s="12">
        <f>IF($H13&gt;0,$H13,IFERROR($G13/Import_Mapping!$B$7,0))</f>
        <v/>
      </c>
    </row>
    <row r="14">
      <c r="A14" s="11" t="n">
        <v>46029</v>
      </c>
      <c r="B14" s="20" t="inlineStr">
        <is>
          <t>Austria Markt GmbH</t>
        </is>
      </c>
      <c r="C14" s="20" t="inlineStr">
        <is>
          <t>AT</t>
        </is>
      </c>
      <c r="D14" s="20" t="inlineStr">
        <is>
          <t>Getraenke</t>
        </is>
      </c>
      <c r="E14" s="14" t="n">
        <v>60000</v>
      </c>
      <c r="F14" s="13" t="n">
        <v>57000</v>
      </c>
      <c r="G14" s="12" t="n">
        <v>96.88</v>
      </c>
      <c r="H14" s="12" t="n">
        <v>62.5</v>
      </c>
      <c r="I14" s="12">
        <f>IF($H14&gt;0,$H14,IFERROR($G14/Import_Mapping!$B$7,0))</f>
        <v/>
      </c>
    </row>
    <row r="15">
      <c r="A15" s="11" t="n">
        <v>46029</v>
      </c>
      <c r="B15" s="20" t="inlineStr">
        <is>
          <t>Tirol Handel AG</t>
        </is>
      </c>
      <c r="C15" s="20" t="inlineStr">
        <is>
          <t>AT</t>
        </is>
      </c>
      <c r="D15" s="20" t="inlineStr">
        <is>
          <t>Trockensortiment</t>
        </is>
      </c>
      <c r="E15" s="14" t="n">
        <v>37296</v>
      </c>
      <c r="F15" s="13" t="n">
        <v>68997.60000000001</v>
      </c>
      <c r="G15" s="12" t="n">
        <v>75.11</v>
      </c>
      <c r="H15" s="12" t="n">
        <v>51.8</v>
      </c>
      <c r="I15" s="12">
        <f>IF($H15&gt;0,$H15,IFERROR($G15/Import_Mapping!$B$7,0))</f>
        <v/>
      </c>
    </row>
    <row r="16">
      <c r="A16" s="11" t="n">
        <v>46029</v>
      </c>
      <c r="B16" s="20" t="inlineStr">
        <is>
          <t>Rheinland Retail SE</t>
        </is>
      </c>
      <c r="C16" s="20" t="inlineStr">
        <is>
          <t>DE-West</t>
        </is>
      </c>
      <c r="D16" s="20" t="inlineStr">
        <is>
          <t>Aktionsware</t>
        </is>
      </c>
      <c r="E16" s="14" t="n">
        <v>16236</v>
      </c>
      <c r="F16" s="13" t="n">
        <v>100663.2</v>
      </c>
      <c r="G16" s="12" t="n">
        <v>67.65000000000001</v>
      </c>
      <c r="H16" s="12" t="n">
        <v>45.1</v>
      </c>
      <c r="I16" s="12">
        <f>IF($H16&gt;0,$H16,IFERROR($G16/Import_Mapping!$B$7,0))</f>
        <v/>
      </c>
    </row>
    <row r="17">
      <c r="A17" s="11" t="n">
        <v>46030</v>
      </c>
      <c r="B17" s="20" t="inlineStr">
        <is>
          <t>Mainpunkt Handel</t>
        </is>
      </c>
      <c r="C17" s="20" t="inlineStr">
        <is>
          <t>DE-Mitte</t>
        </is>
      </c>
      <c r="D17" s="20" t="inlineStr">
        <is>
          <t>Non-Food</t>
        </is>
      </c>
      <c r="E17" s="14" t="n">
        <v>10224</v>
      </c>
      <c r="F17" s="13" t="n">
        <v>127800</v>
      </c>
      <c r="G17" s="12" t="n">
        <v>68.16</v>
      </c>
      <c r="H17" s="12" t="n">
        <v>42.6</v>
      </c>
      <c r="I17" s="12">
        <f>IF($H17&gt;0,$H17,IFERROR($G17/Import_Mapping!$B$7,0))</f>
        <v/>
      </c>
    </row>
    <row r="18">
      <c r="A18" s="11" t="n">
        <v>46030</v>
      </c>
      <c r="B18" s="20" t="inlineStr">
        <is>
          <t>Nordmarkt AG</t>
        </is>
      </c>
      <c r="C18" s="20" t="inlineStr">
        <is>
          <t>DE-Nord</t>
        </is>
      </c>
      <c r="D18" s="20" t="inlineStr">
        <is>
          <t>Aktionsware</t>
        </is>
      </c>
      <c r="E18" s="14" t="n">
        <v>11736</v>
      </c>
      <c r="F18" s="13" t="n">
        <v>72763.2</v>
      </c>
      <c r="G18" s="12" t="n">
        <v>48.9</v>
      </c>
      <c r="H18" s="12" t="n">
        <v>32.6</v>
      </c>
      <c r="I18" s="12">
        <f>IF($H18&gt;0,$H18,IFERROR($G18/Import_Mapping!$B$7,0))</f>
        <v/>
      </c>
    </row>
    <row r="19">
      <c r="A19" s="11" t="n">
        <v>46030</v>
      </c>
      <c r="B19" s="20" t="inlineStr">
        <is>
          <t>Elbe Handel GmbH</t>
        </is>
      </c>
      <c r="C19" s="20" t="inlineStr">
        <is>
          <t>DE-Nord</t>
        </is>
      </c>
      <c r="D19" s="20" t="inlineStr">
        <is>
          <t>Getraenke</t>
        </is>
      </c>
      <c r="E19" s="14" t="n">
        <v>130176</v>
      </c>
      <c r="F19" s="13" t="n">
        <v>123667.2</v>
      </c>
      <c r="G19" s="12" t="n">
        <v>210.18</v>
      </c>
      <c r="H19" s="12" t="n">
        <v>135.6</v>
      </c>
      <c r="I19" s="12">
        <f>IF($H19&gt;0,$H19,IFERROR($G19/Import_Mapping!$B$7,0))</f>
        <v/>
      </c>
    </row>
    <row r="20">
      <c r="A20" s="11" t="n">
        <v>46031</v>
      </c>
      <c r="B20" s="20" t="inlineStr">
        <is>
          <t>Delta Foods BV</t>
        </is>
      </c>
      <c r="C20" s="20" t="inlineStr">
        <is>
          <t>NL</t>
        </is>
      </c>
      <c r="D20" s="20" t="inlineStr">
        <is>
          <t>Non-Food</t>
        </is>
      </c>
      <c r="E20" s="14" t="n">
        <v>5808</v>
      </c>
      <c r="F20" s="13" t="n">
        <v>72600</v>
      </c>
      <c r="G20" s="12" t="n">
        <v>38.72</v>
      </c>
      <c r="H20" s="12" t="n">
        <v>24.2</v>
      </c>
      <c r="I20" s="12">
        <f>IF($H20&gt;0,$H20,IFERROR($G20/Import_Mapping!$B$7,0))</f>
        <v/>
      </c>
    </row>
    <row r="21">
      <c r="A21" s="11" t="n">
        <v>46032</v>
      </c>
      <c r="B21" s="20" t="inlineStr">
        <is>
          <t>Hessen Vertrieb GmbH</t>
        </is>
      </c>
      <c r="C21" s="20" t="inlineStr">
        <is>
          <t>DE-Mitte</t>
        </is>
      </c>
      <c r="D21" s="20" t="inlineStr">
        <is>
          <t>Aktionsware</t>
        </is>
      </c>
      <c r="E21" s="14" t="n">
        <v>11016</v>
      </c>
      <c r="F21" s="13" t="n">
        <v>68299.2</v>
      </c>
      <c r="G21" s="12" t="n">
        <v>45.9</v>
      </c>
      <c r="H21" s="12" t="n">
        <v>30.6</v>
      </c>
      <c r="I21" s="12">
        <f>IF($H21&gt;0,$H21,IFERROR($G21/Import_Mapping!$B$7,0))</f>
        <v/>
      </c>
    </row>
    <row r="22">
      <c r="A22" s="11" t="n">
        <v>46032</v>
      </c>
      <c r="B22" s="20" t="inlineStr">
        <is>
          <t>Kuestenlager KG</t>
        </is>
      </c>
      <c r="C22" s="20" t="inlineStr">
        <is>
          <t>DE-Nord</t>
        </is>
      </c>
      <c r="D22" s="20" t="inlineStr">
        <is>
          <t>Non-Food</t>
        </is>
      </c>
      <c r="E22" s="14" t="n">
        <v>10320</v>
      </c>
      <c r="F22" s="13" t="n">
        <v>129000</v>
      </c>
      <c r="G22" s="12" t="n">
        <v>68.8</v>
      </c>
      <c r="H22" s="12" t="n">
        <v>43</v>
      </c>
      <c r="I22" s="12">
        <f>IF($H22&gt;0,$H22,IFERROR($G22/Import_Mapping!$B$7,0))</f>
        <v/>
      </c>
    </row>
    <row r="23">
      <c r="A23" s="11" t="n">
        <v>46034</v>
      </c>
      <c r="B23" s="20" t="inlineStr">
        <is>
          <t>Alpenmarkt GmbH</t>
        </is>
      </c>
      <c r="C23" s="20" t="inlineStr">
        <is>
          <t>DE-Sued</t>
        </is>
      </c>
      <c r="D23" s="20" t="inlineStr">
        <is>
          <t>Non-Food</t>
        </is>
      </c>
      <c r="E23" s="14" t="n">
        <v>11232</v>
      </c>
      <c r="F23" s="13" t="n">
        <v>140400</v>
      </c>
      <c r="G23" s="12" t="n">
        <v>74.88</v>
      </c>
      <c r="H23" s="12" t="n">
        <v>46.8</v>
      </c>
      <c r="I23" s="12">
        <f>IF($H23&gt;0,$H23,IFERROR($G23/Import_Mapping!$B$7,0))</f>
        <v/>
      </c>
    </row>
    <row r="24">
      <c r="A24" s="11" t="n">
        <v>46034</v>
      </c>
      <c r="B24" s="20" t="inlineStr">
        <is>
          <t>Westfilial AG</t>
        </is>
      </c>
      <c r="C24" s="20" t="inlineStr">
        <is>
          <t>DE-West</t>
        </is>
      </c>
      <c r="D24" s="20" t="inlineStr">
        <is>
          <t>Non-Food</t>
        </is>
      </c>
      <c r="E24" s="14" t="n">
        <v>14520</v>
      </c>
      <c r="F24" s="13" t="n">
        <v>181500</v>
      </c>
      <c r="G24" s="12" t="n">
        <v>96.8</v>
      </c>
      <c r="H24" s="12" t="n">
        <v>60.5</v>
      </c>
      <c r="I24" s="12">
        <f>IF($H24&gt;0,$H24,IFERROR($G24/Import_Mapping!$B$7,0))</f>
        <v/>
      </c>
    </row>
    <row r="25">
      <c r="A25" s="11" t="n">
        <v>46035</v>
      </c>
      <c r="B25" s="20" t="inlineStr">
        <is>
          <t>Austria Markt GmbH</t>
        </is>
      </c>
      <c r="C25" s="20" t="inlineStr">
        <is>
          <t>AT</t>
        </is>
      </c>
      <c r="D25" s="20" t="inlineStr">
        <is>
          <t>Kuehlware</t>
        </is>
      </c>
      <c r="E25" s="14" t="n">
        <v>12864</v>
      </c>
      <c r="F25" s="13" t="n">
        <v>43737.6</v>
      </c>
      <c r="G25" s="12" t="n">
        <v>34.84</v>
      </c>
      <c r="H25" s="12" t="n">
        <v>26.8</v>
      </c>
      <c r="I25" s="12">
        <f>IF($H25&gt;0,$H25,IFERROR($G25/Import_Mapping!$B$7,0))</f>
        <v/>
      </c>
    </row>
    <row r="26">
      <c r="A26" s="11" t="n">
        <v>46035</v>
      </c>
      <c r="B26" s="20" t="inlineStr">
        <is>
          <t>Randstad Retail BV</t>
        </is>
      </c>
      <c r="C26" s="20" t="inlineStr">
        <is>
          <t>NL</t>
        </is>
      </c>
      <c r="D26" s="20" t="inlineStr">
        <is>
          <t>Kuehlware</t>
        </is>
      </c>
      <c r="E26" s="14" t="n">
        <v>23712</v>
      </c>
      <c r="F26" s="13" t="n">
        <v>80620.8</v>
      </c>
      <c r="G26" s="12" t="n">
        <v>64.22</v>
      </c>
      <c r="H26" s="12" t="n">
        <v>49.4</v>
      </c>
      <c r="I26" s="12">
        <f>IF($H26&gt;0,$H26,IFERROR($G26/Import_Mapping!$B$7,0))</f>
        <v/>
      </c>
    </row>
    <row r="27">
      <c r="A27" s="11" t="n">
        <v>46036</v>
      </c>
      <c r="B27" s="20" t="inlineStr">
        <is>
          <t>Sachsen Handel GmbH</t>
        </is>
      </c>
      <c r="C27" s="20" t="inlineStr">
        <is>
          <t>DE-Ost</t>
        </is>
      </c>
      <c r="D27" s="20" t="inlineStr">
        <is>
          <t>Getraenke</t>
        </is>
      </c>
      <c r="E27" s="14" t="n">
        <v>102624</v>
      </c>
      <c r="F27" s="13" t="n">
        <v>97492.8</v>
      </c>
      <c r="G27" s="12" t="n">
        <v>165.7</v>
      </c>
      <c r="H27" s="12" t="n">
        <v>106.9</v>
      </c>
      <c r="I27" s="12">
        <f>IF($H27&gt;0,$H27,IFERROR($G27/Import_Mapping!$B$7,0))</f>
        <v/>
      </c>
    </row>
    <row r="28">
      <c r="A28" s="11" t="n">
        <v>46037</v>
      </c>
      <c r="B28" s="20" t="inlineStr">
        <is>
          <t>Donau Handel AG</t>
        </is>
      </c>
      <c r="C28" s="20" t="inlineStr">
        <is>
          <t>DE-Sued</t>
        </is>
      </c>
      <c r="D28" s="20" t="inlineStr">
        <is>
          <t>Getraenke</t>
        </is>
      </c>
      <c r="E28" s="14" t="n">
        <v>214176</v>
      </c>
      <c r="F28" s="13" t="n">
        <v>203467.2</v>
      </c>
      <c r="G28" s="12" t="n">
        <v>345.81</v>
      </c>
      <c r="H28" s="12" t="n">
        <v>223.1</v>
      </c>
      <c r="I28" s="12">
        <f>IF($H28&gt;0,$H28,IFERROR($G28/Import_Mapping!$B$7,0))</f>
        <v/>
      </c>
    </row>
    <row r="29">
      <c r="A29" s="11" t="n">
        <v>46037</v>
      </c>
      <c r="B29" s="20" t="inlineStr">
        <is>
          <t>Sued Filialen KG</t>
        </is>
      </c>
      <c r="C29" s="20" t="inlineStr">
        <is>
          <t>DE-Sued</t>
        </is>
      </c>
      <c r="D29" s="20" t="inlineStr">
        <is>
          <t>Trockensortiment</t>
        </is>
      </c>
      <c r="E29" s="14" t="n">
        <v>116352</v>
      </c>
      <c r="F29" s="13" t="n">
        <v>215251.2</v>
      </c>
      <c r="G29" s="12" t="n">
        <v>234.32</v>
      </c>
      <c r="H29" s="12" t="n">
        <v>161.6</v>
      </c>
      <c r="I29" s="12">
        <f>IF($H29&gt;0,$H29,IFERROR($G29/Import_Mapping!$B$7,0))</f>
        <v/>
      </c>
    </row>
    <row r="30">
      <c r="A30" s="11" t="n">
        <v>46037</v>
      </c>
      <c r="B30" s="20" t="inlineStr">
        <is>
          <t>Ruhr Frische GmbH</t>
        </is>
      </c>
      <c r="C30" s="20" t="inlineStr">
        <is>
          <t>DE-West</t>
        </is>
      </c>
      <c r="D30" s="20" t="inlineStr">
        <is>
          <t>Kuehlware</t>
        </is>
      </c>
      <c r="E30" s="14" t="n">
        <v>54528</v>
      </c>
      <c r="F30" s="13" t="n">
        <v>185395.2</v>
      </c>
      <c r="G30" s="12" t="n">
        <v>147.68</v>
      </c>
      <c r="H30" s="12" t="n">
        <v>113.6</v>
      </c>
      <c r="I30" s="12">
        <f>IF($H30&gt;0,$H30,IFERROR($G30/Import_Mapping!$B$7,0))</f>
        <v/>
      </c>
    </row>
    <row r="31">
      <c r="A31" s="11" t="n">
        <v>46039</v>
      </c>
      <c r="B31" s="20" t="inlineStr">
        <is>
          <t>Sachsen Handel GmbH</t>
        </is>
      </c>
      <c r="C31" s="20" t="inlineStr">
        <is>
          <t>DE-Ost</t>
        </is>
      </c>
      <c r="D31" s="20" t="inlineStr">
        <is>
          <t>Kuehlware</t>
        </is>
      </c>
      <c r="E31" s="14" t="n">
        <v>28752</v>
      </c>
      <c r="F31" s="13" t="n">
        <v>97756.8</v>
      </c>
      <c r="G31" s="12" t="n">
        <v>77.87</v>
      </c>
      <c r="H31" s="12" t="n">
        <v>59.9</v>
      </c>
      <c r="I31" s="12">
        <f>IF($H31&gt;0,$H31,IFERROR($G31/Import_Mapping!$B$7,0))</f>
        <v/>
      </c>
    </row>
    <row r="32">
      <c r="A32" s="11" t="n">
        <v>46039</v>
      </c>
      <c r="B32" s="20" t="inlineStr">
        <is>
          <t>Randstad Retail BV</t>
        </is>
      </c>
      <c r="C32" s="20" t="inlineStr">
        <is>
          <t>NL</t>
        </is>
      </c>
      <c r="D32" s="20" t="inlineStr">
        <is>
          <t>Trockensortiment</t>
        </is>
      </c>
      <c r="E32" s="14" t="n">
        <v>50184</v>
      </c>
      <c r="F32" s="13" t="n">
        <v>92840.39999999999</v>
      </c>
      <c r="G32" s="12" t="n">
        <v>101.06</v>
      </c>
      <c r="H32" s="12" t="n">
        <v>69.7</v>
      </c>
      <c r="I32" s="12">
        <f>IF($H32&gt;0,$H32,IFERROR($G32/Import_Mapping!$B$7,0))</f>
        <v/>
      </c>
    </row>
    <row r="33">
      <c r="A33" s="11" t="n">
        <v>46041</v>
      </c>
      <c r="B33" s="20" t="inlineStr">
        <is>
          <t>Hessen Vertrieb GmbH</t>
        </is>
      </c>
      <c r="C33" s="20" t="inlineStr">
        <is>
          <t>DE-Mitte</t>
        </is>
      </c>
      <c r="D33" s="20" t="inlineStr">
        <is>
          <t>Getraenke</t>
        </is>
      </c>
      <c r="E33" s="14" t="n">
        <v>121824</v>
      </c>
      <c r="F33" s="13" t="n">
        <v>115732.8</v>
      </c>
      <c r="G33" s="12" t="n">
        <v>196.7</v>
      </c>
      <c r="H33" s="12" t="n">
        <v>126.9</v>
      </c>
      <c r="I33" s="12">
        <f>IF($H33&gt;0,$H33,IFERROR($G33/Import_Mapping!$B$7,0))</f>
        <v/>
      </c>
    </row>
    <row r="34">
      <c r="A34" s="11" t="n">
        <v>46041</v>
      </c>
      <c r="B34" s="20" t="inlineStr">
        <is>
          <t>Wisla Retail Sp.</t>
        </is>
      </c>
      <c r="C34" s="20" t="inlineStr">
        <is>
          <t>PL</t>
        </is>
      </c>
      <c r="D34" s="20" t="inlineStr">
        <is>
          <t>Non-Food</t>
        </is>
      </c>
      <c r="E34" s="14" t="n">
        <v>12456</v>
      </c>
      <c r="F34" s="13" t="n">
        <v>155700</v>
      </c>
      <c r="G34" s="12" t="n">
        <v>83.04000000000001</v>
      </c>
      <c r="H34" s="12" t="n">
        <v>51.9</v>
      </c>
      <c r="I34" s="12">
        <f>IF($H34&gt;0,$H34,IFERROR($G34/Import_Mapping!$B$7,0))</f>
        <v/>
      </c>
    </row>
    <row r="35">
      <c r="A35" s="11" t="n">
        <v>46042</v>
      </c>
      <c r="B35" s="20" t="inlineStr">
        <is>
          <t>Rheinland Retail SE</t>
        </is>
      </c>
      <c r="C35" s="20" t="inlineStr">
        <is>
          <t>DE-West</t>
        </is>
      </c>
      <c r="D35" s="20" t="inlineStr">
        <is>
          <t>Getraenke</t>
        </is>
      </c>
      <c r="E35" s="14" t="n">
        <v>208224</v>
      </c>
      <c r="F35" s="13" t="n">
        <v>197812.8</v>
      </c>
      <c r="G35" s="12" t="n">
        <v>336.19</v>
      </c>
      <c r="H35" s="12" t="n">
        <v>216.9</v>
      </c>
      <c r="I35" s="12">
        <f>IF($H35&gt;0,$H35,IFERROR($G35/Import_Mapping!$B$7,0))</f>
        <v/>
      </c>
    </row>
    <row r="36">
      <c r="A36" s="11" t="n">
        <v>46043</v>
      </c>
      <c r="B36" s="20" t="inlineStr">
        <is>
          <t>Wisla Retail Sp.</t>
        </is>
      </c>
      <c r="C36" s="20" t="inlineStr">
        <is>
          <t>PL</t>
        </is>
      </c>
      <c r="D36" s="20" t="inlineStr">
        <is>
          <t>Kuehlware</t>
        </is>
      </c>
      <c r="E36" s="14" t="n">
        <v>7248</v>
      </c>
      <c r="F36" s="13" t="n">
        <v>24643.2</v>
      </c>
      <c r="G36" s="12" t="n">
        <v>19.63</v>
      </c>
      <c r="H36" s="12" t="n">
        <v>15.1</v>
      </c>
      <c r="I36" s="12">
        <f>IF($H36&gt;0,$H36,IFERROR($G36/Import_Mapping!$B$7,0))</f>
        <v/>
      </c>
    </row>
    <row r="37">
      <c r="A37" s="11" t="n">
        <v>46044</v>
      </c>
      <c r="B37" s="20" t="inlineStr">
        <is>
          <t>Odra Handel Sp.</t>
        </is>
      </c>
      <c r="C37" s="20" t="inlineStr">
        <is>
          <t>PL</t>
        </is>
      </c>
      <c r="D37" s="20" t="inlineStr">
        <is>
          <t>Getraenke</t>
        </is>
      </c>
      <c r="E37" s="14" t="n">
        <v>40896</v>
      </c>
      <c r="F37" s="13" t="n">
        <v>38851.2</v>
      </c>
      <c r="G37" s="12" t="n">
        <v>66.03</v>
      </c>
      <c r="H37" s="12" t="n">
        <v>42.6</v>
      </c>
      <c r="I37" s="12">
        <f>IF($H37&gt;0,$H37,IFERROR($G37/Import_Mapping!$B$7,0))</f>
        <v/>
      </c>
    </row>
    <row r="38">
      <c r="A38" s="11" t="n">
        <v>46046</v>
      </c>
      <c r="B38" s="20" t="inlineStr">
        <is>
          <t>Spree Markt AG</t>
        </is>
      </c>
      <c r="C38" s="20" t="inlineStr">
        <is>
          <t>DE-Ost</t>
        </is>
      </c>
      <c r="D38" s="20" t="inlineStr">
        <is>
          <t>Aktionsware</t>
        </is>
      </c>
      <c r="E38" s="14" t="n">
        <v>9468</v>
      </c>
      <c r="F38" s="13" t="n">
        <v>58701.6</v>
      </c>
      <c r="G38" s="12" t="n">
        <v>39.45</v>
      </c>
      <c r="H38" s="12" t="n">
        <v>26.3</v>
      </c>
      <c r="I38" s="12">
        <f>IF($H38&gt;0,$H38,IFERROR($G38/Import_Mapping!$B$7,0))</f>
        <v/>
      </c>
    </row>
    <row r="39">
      <c r="A39" s="11" t="n">
        <v>46046</v>
      </c>
      <c r="B39" s="20" t="inlineStr">
        <is>
          <t>Delta Foods BV</t>
        </is>
      </c>
      <c r="C39" s="20" t="inlineStr">
        <is>
          <t>NL</t>
        </is>
      </c>
      <c r="D39" s="20" t="inlineStr">
        <is>
          <t>Getraenke</t>
        </is>
      </c>
      <c r="E39" s="14" t="n">
        <v>41856</v>
      </c>
      <c r="F39" s="13" t="n">
        <v>39763.2</v>
      </c>
      <c r="G39" s="12" t="n">
        <v>67.58</v>
      </c>
      <c r="H39" s="12" t="n">
        <v>43.6</v>
      </c>
      <c r="I39" s="12">
        <f>IF($H39&gt;0,$H39,IFERROR($G39/Import_Mapping!$B$7,0))</f>
        <v/>
      </c>
    </row>
    <row r="40">
      <c r="A40" s="11" t="n">
        <v>46047</v>
      </c>
      <c r="B40" s="20" t="inlineStr">
        <is>
          <t>Austria Markt GmbH</t>
        </is>
      </c>
      <c r="C40" s="20" t="inlineStr">
        <is>
          <t>AT</t>
        </is>
      </c>
      <c r="D40" s="20" t="inlineStr">
        <is>
          <t>Non-Food</t>
        </is>
      </c>
      <c r="E40" s="14" t="n">
        <v>5160</v>
      </c>
      <c r="F40" s="13" t="n">
        <v>64500</v>
      </c>
      <c r="G40" s="12" t="n">
        <v>34.4</v>
      </c>
      <c r="H40" s="12" t="n">
        <v>21.5</v>
      </c>
      <c r="I40" s="12">
        <f>IF($H40&gt;0,$H40,IFERROR($G40/Import_Mapping!$B$7,0))</f>
        <v/>
      </c>
    </row>
    <row r="41">
      <c r="A41" s="11" t="n">
        <v>46047</v>
      </c>
      <c r="B41" s="20" t="inlineStr">
        <is>
          <t>Mainpunkt Handel</t>
        </is>
      </c>
      <c r="C41" s="20" t="inlineStr">
        <is>
          <t>DE-Mitte</t>
        </is>
      </c>
      <c r="D41" s="20" t="inlineStr">
        <is>
          <t>Kuehlware</t>
        </is>
      </c>
      <c r="E41" s="14" t="n">
        <v>34656</v>
      </c>
      <c r="F41" s="13" t="n">
        <v>117830.4</v>
      </c>
      <c r="G41" s="12" t="n">
        <v>93.86</v>
      </c>
      <c r="H41" s="12" t="n">
        <v>72.2</v>
      </c>
      <c r="I41" s="12">
        <f>IF($H41&gt;0,$H41,IFERROR($G41/Import_Mapping!$B$7,0))</f>
        <v/>
      </c>
    </row>
    <row r="42">
      <c r="A42" s="11" t="n">
        <v>46047</v>
      </c>
      <c r="B42" s="20" t="inlineStr">
        <is>
          <t>Nordmarkt AG</t>
        </is>
      </c>
      <c r="C42" s="20" t="inlineStr">
        <is>
          <t>DE-Nord</t>
        </is>
      </c>
      <c r="D42" s="20" t="inlineStr">
        <is>
          <t>Trockensortiment</t>
        </is>
      </c>
      <c r="E42" s="14" t="n">
        <v>114120</v>
      </c>
      <c r="F42" s="13" t="n">
        <v>211122</v>
      </c>
      <c r="G42" s="12" t="n">
        <v>229.82</v>
      </c>
      <c r="H42" s="12" t="n">
        <v>158.5</v>
      </c>
      <c r="I42" s="12">
        <f>IF($H42&gt;0,$H42,IFERROR($G42/Import_Mapping!$B$7,0))</f>
        <v/>
      </c>
    </row>
    <row r="43">
      <c r="A43" s="11" t="n">
        <v>46047</v>
      </c>
      <c r="B43" s="20" t="inlineStr">
        <is>
          <t>Rheinland Retail SE</t>
        </is>
      </c>
      <c r="C43" s="20" t="inlineStr">
        <is>
          <t>DE-West</t>
        </is>
      </c>
      <c r="D43" s="20" t="inlineStr">
        <is>
          <t>Trockensortiment</t>
        </is>
      </c>
      <c r="E43" s="14" t="n">
        <v>144144</v>
      </c>
      <c r="F43" s="13" t="n">
        <v>266666.4</v>
      </c>
      <c r="G43" s="12" t="n">
        <v>290.29</v>
      </c>
      <c r="H43" s="12" t="n">
        <v>200.2</v>
      </c>
      <c r="I43" s="12">
        <f>IF($H43&gt;0,$H43,IFERROR($G43/Import_Mapping!$B$7,0))</f>
        <v/>
      </c>
    </row>
    <row r="44">
      <c r="A44" s="11" t="n">
        <v>46047</v>
      </c>
      <c r="B44" s="20" t="inlineStr">
        <is>
          <t>Odra Handel Sp.</t>
        </is>
      </c>
      <c r="C44" s="20" t="inlineStr">
        <is>
          <t>PL</t>
        </is>
      </c>
      <c r="D44" s="20" t="inlineStr">
        <is>
          <t>Trockensortiment</t>
        </is>
      </c>
      <c r="E44" s="14" t="n">
        <v>25488</v>
      </c>
      <c r="F44" s="13" t="n">
        <v>47152.8</v>
      </c>
      <c r="G44" s="12" t="n">
        <v>51.33</v>
      </c>
      <c r="H44" s="12" t="n">
        <v>35.4</v>
      </c>
      <c r="I44" s="12">
        <f>IF($H44&gt;0,$H44,IFERROR($G44/Import_Mapping!$B$7,0))</f>
        <v/>
      </c>
    </row>
    <row r="45">
      <c r="A45" s="11" t="n">
        <v>46054</v>
      </c>
      <c r="B45" s="20" t="inlineStr">
        <is>
          <t>Austria Markt GmbH</t>
        </is>
      </c>
      <c r="C45" s="20" t="inlineStr">
        <is>
          <t>AT</t>
        </is>
      </c>
      <c r="D45" s="20" t="inlineStr">
        <is>
          <t>Trockensortiment</t>
        </is>
      </c>
      <c r="E45" s="14" t="n">
        <v>36288</v>
      </c>
      <c r="F45" s="13" t="n">
        <v>67132.8</v>
      </c>
      <c r="G45" s="12" t="n">
        <v>73.08</v>
      </c>
      <c r="H45" s="12" t="n">
        <v>50.4</v>
      </c>
      <c r="I45" s="12">
        <f>IF($H45&gt;0,$H45,IFERROR($G45/Import_Mapping!$B$7,0))</f>
        <v/>
      </c>
    </row>
    <row r="46">
      <c r="A46" s="11" t="n">
        <v>46054</v>
      </c>
      <c r="B46" s="20" t="inlineStr">
        <is>
          <t>Nordmarkt AG</t>
        </is>
      </c>
      <c r="C46" s="20" t="inlineStr">
        <is>
          <t>DE-Nord</t>
        </is>
      </c>
      <c r="D46" s="20" t="inlineStr">
        <is>
          <t>Non-Food</t>
        </is>
      </c>
      <c r="E46" s="14" t="n">
        <v>12048</v>
      </c>
      <c r="F46" s="13" t="n">
        <v>150600</v>
      </c>
      <c r="G46" s="12" t="n">
        <v>80.31999999999999</v>
      </c>
      <c r="H46" s="12" t="n">
        <v>50.2</v>
      </c>
      <c r="I46" s="12">
        <f>IF($H46&gt;0,$H46,IFERROR($G46/Import_Mapping!$B$7,0))</f>
        <v/>
      </c>
    </row>
    <row r="47">
      <c r="A47" s="11" t="n">
        <v>46055</v>
      </c>
      <c r="B47" s="20" t="inlineStr">
        <is>
          <t>Sued Filialen KG</t>
        </is>
      </c>
      <c r="C47" s="20" t="inlineStr">
        <is>
          <t>DE-Sued</t>
        </is>
      </c>
      <c r="D47" s="20" t="inlineStr">
        <is>
          <t>Non-Food</t>
        </is>
      </c>
      <c r="E47" s="14" t="n">
        <v>14112</v>
      </c>
      <c r="F47" s="13" t="n">
        <v>176400</v>
      </c>
      <c r="G47" s="12" t="n">
        <v>94.08</v>
      </c>
      <c r="H47" s="12" t="n">
        <v>58.8</v>
      </c>
      <c r="I47" s="12">
        <f>IF($H47&gt;0,$H47,IFERROR($G47/Import_Mapping!$B$7,0))</f>
        <v/>
      </c>
    </row>
    <row r="48">
      <c r="A48" s="11" t="n">
        <v>46056</v>
      </c>
      <c r="B48" s="20" t="inlineStr">
        <is>
          <t>Randstad Retail BV</t>
        </is>
      </c>
      <c r="C48" s="20" t="inlineStr">
        <is>
          <t>NL</t>
        </is>
      </c>
      <c r="D48" s="20" t="inlineStr">
        <is>
          <t>Non-Food</t>
        </is>
      </c>
      <c r="E48" s="14" t="n">
        <v>6672</v>
      </c>
      <c r="F48" s="13" t="n">
        <v>83400</v>
      </c>
      <c r="G48" s="12" t="n">
        <v>44.48</v>
      </c>
      <c r="H48" s="12" t="n">
        <v>27.8</v>
      </c>
      <c r="I48" s="12">
        <f>IF($H48&gt;0,$H48,IFERROR($G48/Import_Mapping!$B$7,0))</f>
        <v/>
      </c>
    </row>
    <row r="49">
      <c r="A49" s="11" t="n">
        <v>46057</v>
      </c>
      <c r="B49" s="20" t="inlineStr">
        <is>
          <t>Spree Markt AG</t>
        </is>
      </c>
      <c r="C49" s="20" t="inlineStr">
        <is>
          <t>DE-Ost</t>
        </is>
      </c>
      <c r="D49" s="20" t="inlineStr">
        <is>
          <t>Trockensortiment</t>
        </is>
      </c>
      <c r="E49" s="14" t="n">
        <v>72504</v>
      </c>
      <c r="F49" s="13" t="n">
        <v>134132.4</v>
      </c>
      <c r="G49" s="12" t="n">
        <v>146.01</v>
      </c>
      <c r="H49" s="12" t="n">
        <v>100.7</v>
      </c>
      <c r="I49" s="12">
        <f>IF($H49&gt;0,$H49,IFERROR($G49/Import_Mapping!$B$7,0))</f>
        <v/>
      </c>
    </row>
    <row r="50">
      <c r="A50" s="11" t="n">
        <v>46057</v>
      </c>
      <c r="B50" s="20" t="inlineStr">
        <is>
          <t>Alpenmarkt GmbH</t>
        </is>
      </c>
      <c r="C50" s="20" t="inlineStr">
        <is>
          <t>DE-Sued</t>
        </is>
      </c>
      <c r="D50" s="20" t="inlineStr">
        <is>
          <t>Trockensortiment</t>
        </is>
      </c>
      <c r="E50" s="14" t="n">
        <v>131616</v>
      </c>
      <c r="F50" s="13" t="n">
        <v>243489.6</v>
      </c>
      <c r="G50" s="12" t="n">
        <v>265.06</v>
      </c>
      <c r="H50" s="12" t="n">
        <v>182.8</v>
      </c>
      <c r="I50" s="12">
        <f>IF($H50&gt;0,$H50,IFERROR($G50/Import_Mapping!$B$7,0))</f>
        <v/>
      </c>
    </row>
    <row r="51">
      <c r="A51" s="11" t="n">
        <v>46057</v>
      </c>
      <c r="B51" s="20" t="inlineStr">
        <is>
          <t>Delta Foods BV</t>
        </is>
      </c>
      <c r="C51" s="20" t="inlineStr">
        <is>
          <t>NL</t>
        </is>
      </c>
      <c r="D51" s="20" t="inlineStr">
        <is>
          <t>Kuehlware</t>
        </is>
      </c>
      <c r="E51" s="14" t="n">
        <v>22800</v>
      </c>
      <c r="F51" s="13" t="n">
        <v>77520</v>
      </c>
      <c r="G51" s="12" t="n">
        <v>61.75</v>
      </c>
      <c r="H51" s="12" t="n">
        <v>47.5</v>
      </c>
      <c r="I51" s="12">
        <f>IF($H51&gt;0,$H51,IFERROR($G51/Import_Mapping!$B$7,0))</f>
        <v/>
      </c>
    </row>
    <row r="52">
      <c r="A52" s="11" t="n">
        <v>46058</v>
      </c>
      <c r="B52" s="20" t="inlineStr">
        <is>
          <t>Rheinland Retail SE</t>
        </is>
      </c>
      <c r="C52" s="20" t="inlineStr">
        <is>
          <t>DE-West</t>
        </is>
      </c>
      <c r="D52" s="20" t="inlineStr">
        <is>
          <t>Getraenke</t>
        </is>
      </c>
      <c r="E52" s="14" t="n">
        <v>216480</v>
      </c>
      <c r="F52" s="13" t="n">
        <v>205656</v>
      </c>
      <c r="G52" s="12" t="n">
        <v>349.53</v>
      </c>
      <c r="H52" s="12" t="n">
        <v>225.5</v>
      </c>
      <c r="I52" s="12">
        <f>IF($H52&gt;0,$H52,IFERROR($G52/Import_Mapping!$B$7,0))</f>
        <v/>
      </c>
    </row>
    <row r="53">
      <c r="A53" s="11" t="n">
        <v>46058</v>
      </c>
      <c r="B53" s="20" t="inlineStr">
        <is>
          <t>Wisla Retail Sp.</t>
        </is>
      </c>
      <c r="C53" s="20" t="inlineStr">
        <is>
          <t>PL</t>
        </is>
      </c>
      <c r="D53" s="20" t="inlineStr">
        <is>
          <t>Aktionsware</t>
        </is>
      </c>
      <c r="E53" s="14" t="n">
        <v>21780</v>
      </c>
      <c r="F53" s="13" t="n">
        <v>135036</v>
      </c>
      <c r="G53" s="12" t="n">
        <v>90.75</v>
      </c>
      <c r="H53" s="12" t="n">
        <v>60.5</v>
      </c>
      <c r="I53" s="12">
        <f>IF($H53&gt;0,$H53,IFERROR($G53/Import_Mapping!$B$7,0))</f>
        <v/>
      </c>
    </row>
    <row r="54">
      <c r="A54" s="11" t="n">
        <v>46058</v>
      </c>
      <c r="B54" s="20" t="inlineStr">
        <is>
          <t>Odra Handel Sp.</t>
        </is>
      </c>
      <c r="C54" s="20" t="inlineStr">
        <is>
          <t>PL</t>
        </is>
      </c>
      <c r="D54" s="20" t="inlineStr">
        <is>
          <t>Non-Food</t>
        </is>
      </c>
      <c r="E54" s="14" t="n">
        <v>10872</v>
      </c>
      <c r="F54" s="13" t="n">
        <v>135900</v>
      </c>
      <c r="G54" s="12" t="n">
        <v>72.48</v>
      </c>
      <c r="H54" s="12" t="n">
        <v>45.3</v>
      </c>
      <c r="I54" s="12">
        <f>IF($H54&gt;0,$H54,IFERROR($G54/Import_Mapping!$B$7,0))</f>
        <v/>
      </c>
    </row>
    <row r="55">
      <c r="A55" s="11" t="n">
        <v>46059</v>
      </c>
      <c r="B55" s="20" t="inlineStr">
        <is>
          <t>Mainpunkt Handel</t>
        </is>
      </c>
      <c r="C55" s="20" t="inlineStr">
        <is>
          <t>DE-Mitte</t>
        </is>
      </c>
      <c r="D55" s="20" t="inlineStr">
        <is>
          <t>Kuehlware</t>
        </is>
      </c>
      <c r="E55" s="14" t="n">
        <v>31392</v>
      </c>
      <c r="F55" s="13" t="n">
        <v>106732.8</v>
      </c>
      <c r="G55" s="12" t="n">
        <v>85.02</v>
      </c>
      <c r="H55" s="12" t="n">
        <v>65.40000000000001</v>
      </c>
      <c r="I55" s="12">
        <f>IF($H55&gt;0,$H55,IFERROR($G55/Import_Mapping!$B$7,0))</f>
        <v/>
      </c>
    </row>
    <row r="56">
      <c r="A56" s="11" t="n">
        <v>46060</v>
      </c>
      <c r="B56" s="20" t="inlineStr">
        <is>
          <t>Kuestenlager KG</t>
        </is>
      </c>
      <c r="C56" s="20" t="inlineStr">
        <is>
          <t>DE-Nord</t>
        </is>
      </c>
      <c r="D56" s="20" t="inlineStr">
        <is>
          <t>Trockensortiment</t>
        </is>
      </c>
      <c r="E56" s="14" t="n">
        <v>133272</v>
      </c>
      <c r="F56" s="13" t="n">
        <v>246553.2</v>
      </c>
      <c r="G56" s="12" t="n">
        <v>268.39</v>
      </c>
      <c r="H56" s="12" t="n">
        <v>185.1</v>
      </c>
      <c r="I56" s="12">
        <f>IF($H56&gt;0,$H56,IFERROR($G56/Import_Mapping!$B$7,0))</f>
        <v/>
      </c>
    </row>
    <row r="57">
      <c r="A57" s="11" t="n">
        <v>46060</v>
      </c>
      <c r="B57" s="20" t="inlineStr">
        <is>
          <t>Rheinland Retail SE</t>
        </is>
      </c>
      <c r="C57" s="20" t="inlineStr">
        <is>
          <t>DE-West</t>
        </is>
      </c>
      <c r="D57" s="20" t="inlineStr">
        <is>
          <t>Non-Food</t>
        </is>
      </c>
      <c r="E57" s="14" t="n">
        <v>15624</v>
      </c>
      <c r="F57" s="13" t="n">
        <v>195300</v>
      </c>
      <c r="G57" s="12" t="n">
        <v>104.16</v>
      </c>
      <c r="H57" s="12" t="n">
        <v>65.09999999999999</v>
      </c>
      <c r="I57" s="12">
        <f>IF($H57&gt;0,$H57,IFERROR($G57/Import_Mapping!$B$7,0))</f>
        <v/>
      </c>
    </row>
    <row r="58">
      <c r="A58" s="11" t="n">
        <v>46060</v>
      </c>
      <c r="B58" s="20" t="inlineStr">
        <is>
          <t>Delta Foods BV</t>
        </is>
      </c>
      <c r="C58" s="20" t="inlineStr">
        <is>
          <t>NL</t>
        </is>
      </c>
      <c r="D58" s="20" t="inlineStr">
        <is>
          <t>Getraenke</t>
        </is>
      </c>
      <c r="E58" s="14" t="n">
        <v>56832</v>
      </c>
      <c r="F58" s="13" t="n">
        <v>53990.4</v>
      </c>
      <c r="G58" s="12" t="n">
        <v>91.76000000000001</v>
      </c>
      <c r="H58" s="12" t="n">
        <v>59.2</v>
      </c>
      <c r="I58" s="12">
        <f>IF($H58&gt;0,$H58,IFERROR($G58/Import_Mapping!$B$7,0))</f>
        <v/>
      </c>
    </row>
    <row r="59">
      <c r="A59" s="11" t="n">
        <v>46061</v>
      </c>
      <c r="B59" s="20" t="inlineStr">
        <is>
          <t>Tirol Handel AG</t>
        </is>
      </c>
      <c r="C59" s="20" t="inlineStr">
        <is>
          <t>AT</t>
        </is>
      </c>
      <c r="D59" s="20" t="inlineStr">
        <is>
          <t>Kuehlware</t>
        </is>
      </c>
      <c r="E59" s="14" t="n">
        <v>14784</v>
      </c>
      <c r="F59" s="13" t="n">
        <v>50265.6</v>
      </c>
      <c r="G59" s="12" t="n">
        <v>40.04</v>
      </c>
      <c r="H59" s="12" t="n">
        <v>30.8</v>
      </c>
      <c r="I59" s="12">
        <f>IF($H59&gt;0,$H59,IFERROR($G59/Import_Mapping!$B$7,0))</f>
        <v/>
      </c>
    </row>
    <row r="60">
      <c r="A60" s="11" t="n">
        <v>46061</v>
      </c>
      <c r="B60" s="20" t="inlineStr">
        <is>
          <t>Sachsen Handel GmbH</t>
        </is>
      </c>
      <c r="C60" s="20" t="inlineStr">
        <is>
          <t>DE-Ost</t>
        </is>
      </c>
      <c r="D60" s="20" t="inlineStr">
        <is>
          <t>Aktionsware</t>
        </is>
      </c>
      <c r="E60" s="14" t="n">
        <v>9216</v>
      </c>
      <c r="F60" s="13" t="n">
        <v>57139.2</v>
      </c>
      <c r="G60" s="12" t="n">
        <v>38.4</v>
      </c>
      <c r="H60" s="12" t="n">
        <v>25.6</v>
      </c>
      <c r="I60" s="12">
        <f>IF($H60&gt;0,$H60,IFERROR($G60/Import_Mapping!$B$7,0))</f>
        <v/>
      </c>
    </row>
    <row r="61">
      <c r="A61" s="11" t="n">
        <v>46061</v>
      </c>
      <c r="B61" s="20" t="inlineStr">
        <is>
          <t>Sued Filialen KG</t>
        </is>
      </c>
      <c r="C61" s="20" t="inlineStr">
        <is>
          <t>DE-Sued</t>
        </is>
      </c>
      <c r="D61" s="20" t="inlineStr">
        <is>
          <t>Aktionsware</t>
        </is>
      </c>
      <c r="E61" s="14" t="n">
        <v>12960</v>
      </c>
      <c r="F61" s="13" t="n">
        <v>80352</v>
      </c>
      <c r="G61" s="12" t="n">
        <v>54</v>
      </c>
      <c r="H61" s="12" t="n">
        <v>36</v>
      </c>
      <c r="I61" s="12">
        <f>IF($H61&gt;0,$H61,IFERROR($G61/Import_Mapping!$B$7,0))</f>
        <v/>
      </c>
    </row>
    <row r="62">
      <c r="A62" s="11" t="n">
        <v>46061</v>
      </c>
      <c r="B62" s="20" t="inlineStr">
        <is>
          <t>Ruhr Frische GmbH</t>
        </is>
      </c>
      <c r="C62" s="20" t="inlineStr">
        <is>
          <t>DE-West</t>
        </is>
      </c>
      <c r="D62" s="20" t="inlineStr">
        <is>
          <t>Aktionsware</t>
        </is>
      </c>
      <c r="E62" s="14" t="n">
        <v>17244</v>
      </c>
      <c r="F62" s="13" t="n">
        <v>106912.8</v>
      </c>
      <c r="G62" s="12" t="n">
        <v>71.84999999999999</v>
      </c>
      <c r="H62" s="12" t="n">
        <v>47.9</v>
      </c>
      <c r="I62" s="12">
        <f>IF($H62&gt;0,$H62,IFERROR($G62/Import_Mapping!$B$7,0))</f>
        <v/>
      </c>
    </row>
    <row r="63">
      <c r="A63" s="11" t="n">
        <v>46062</v>
      </c>
      <c r="B63" s="20" t="inlineStr">
        <is>
          <t>Kuestenlager KG</t>
        </is>
      </c>
      <c r="C63" s="20" t="inlineStr">
        <is>
          <t>DE-Nord</t>
        </is>
      </c>
      <c r="D63" s="20" t="inlineStr">
        <is>
          <t>Getraenke</t>
        </is>
      </c>
      <c r="E63" s="14" t="n">
        <v>145920</v>
      </c>
      <c r="F63" s="13" t="n">
        <v>138624</v>
      </c>
      <c r="G63" s="12" t="n">
        <v>235.6</v>
      </c>
      <c r="H63" s="12" t="n">
        <v>152</v>
      </c>
      <c r="I63" s="12">
        <f>IF($H63&gt;0,$H63,IFERROR($G63/Import_Mapping!$B$7,0))</f>
        <v/>
      </c>
    </row>
    <row r="64">
      <c r="A64" s="11" t="n">
        <v>46063</v>
      </c>
      <c r="B64" s="20" t="inlineStr">
        <is>
          <t>Wisla Retail Sp.</t>
        </is>
      </c>
      <c r="C64" s="20" t="inlineStr">
        <is>
          <t>PL</t>
        </is>
      </c>
      <c r="D64" s="20" t="inlineStr">
        <is>
          <t>Getraenke</t>
        </is>
      </c>
      <c r="E64" s="14" t="n">
        <v>42624</v>
      </c>
      <c r="F64" s="13" t="n">
        <v>40492.8</v>
      </c>
      <c r="G64" s="12" t="n">
        <v>68.81999999999999</v>
      </c>
      <c r="H64" s="12" t="n">
        <v>44.4</v>
      </c>
      <c r="I64" s="12">
        <f>IF($H64&gt;0,$H64,IFERROR($G64/Import_Mapping!$B$7,0))</f>
        <v/>
      </c>
    </row>
    <row r="65">
      <c r="A65" s="11" t="n">
        <v>46064</v>
      </c>
      <c r="B65" s="20" t="inlineStr">
        <is>
          <t>Tirol Handel AG</t>
        </is>
      </c>
      <c r="C65" s="20" t="inlineStr">
        <is>
          <t>AT</t>
        </is>
      </c>
      <c r="D65" s="20" t="inlineStr">
        <is>
          <t>Aktionsware</t>
        </is>
      </c>
      <c r="E65" s="14" t="n">
        <v>4176</v>
      </c>
      <c r="F65" s="13" t="n">
        <v>25891.2</v>
      </c>
      <c r="G65" s="12" t="n">
        <v>17.4</v>
      </c>
      <c r="H65" s="12" t="n">
        <v>11.6</v>
      </c>
      <c r="I65" s="12">
        <f>IF($H65&gt;0,$H65,IFERROR($G65/Import_Mapping!$B$7,0))</f>
        <v/>
      </c>
    </row>
    <row r="66">
      <c r="A66" s="11" t="n">
        <v>46064</v>
      </c>
      <c r="B66" s="20" t="inlineStr">
        <is>
          <t>Hessen Vertrieb GmbH</t>
        </is>
      </c>
      <c r="C66" s="20" t="inlineStr">
        <is>
          <t>DE-Mitte</t>
        </is>
      </c>
      <c r="D66" s="20" t="inlineStr">
        <is>
          <t>Non-Food</t>
        </is>
      </c>
      <c r="E66" s="14" t="n">
        <v>10200</v>
      </c>
      <c r="F66" s="13" t="n">
        <v>127500</v>
      </c>
      <c r="G66" s="12" t="n">
        <v>68</v>
      </c>
      <c r="H66" s="12" t="n">
        <v>42.5</v>
      </c>
      <c r="I66" s="12">
        <f>IF($H66&gt;0,$H66,IFERROR($G66/Import_Mapping!$B$7,0))</f>
        <v/>
      </c>
    </row>
    <row r="67">
      <c r="A67" s="11" t="n">
        <v>46064</v>
      </c>
      <c r="B67" s="20" t="inlineStr">
        <is>
          <t>Kuestenlager KG</t>
        </is>
      </c>
      <c r="C67" s="20" t="inlineStr">
        <is>
          <t>DE-Nord</t>
        </is>
      </c>
      <c r="D67" s="20" t="inlineStr">
        <is>
          <t>Kuehlware</t>
        </is>
      </c>
      <c r="E67" s="14" t="n">
        <v>59472</v>
      </c>
      <c r="F67" s="13" t="n">
        <v>202204.8</v>
      </c>
      <c r="G67" s="12" t="n">
        <v>161.07</v>
      </c>
      <c r="H67" s="12" t="n">
        <v>123.9</v>
      </c>
      <c r="I67" s="12">
        <f>IF($H67&gt;0,$H67,IFERROR($G67/Import_Mapping!$B$7,0))</f>
        <v/>
      </c>
    </row>
    <row r="68">
      <c r="A68" s="11" t="n">
        <v>46064</v>
      </c>
      <c r="B68" s="20" t="inlineStr">
        <is>
          <t>Sachsen Handel GmbH</t>
        </is>
      </c>
      <c r="C68" s="20" t="inlineStr">
        <is>
          <t>DE-Ost</t>
        </is>
      </c>
      <c r="D68" s="20" t="inlineStr">
        <is>
          <t>Non-Food</t>
        </is>
      </c>
      <c r="E68" s="14" t="n">
        <v>7968</v>
      </c>
      <c r="F68" s="13" t="n">
        <v>99600</v>
      </c>
      <c r="G68" s="12" t="n">
        <v>53.12</v>
      </c>
      <c r="H68" s="12" t="n">
        <v>33.2</v>
      </c>
      <c r="I68" s="12">
        <f>IF($H68&gt;0,$H68,IFERROR($G68/Import_Mapping!$B$7,0))</f>
        <v/>
      </c>
    </row>
    <row r="69">
      <c r="A69" s="11" t="n">
        <v>46065</v>
      </c>
      <c r="B69" s="20" t="inlineStr">
        <is>
          <t>Mainpunkt Handel</t>
        </is>
      </c>
      <c r="C69" s="20" t="inlineStr">
        <is>
          <t>DE-Mitte</t>
        </is>
      </c>
      <c r="D69" s="20" t="inlineStr">
        <is>
          <t>Trockensortiment</t>
        </is>
      </c>
      <c r="E69" s="14" t="n">
        <v>85392</v>
      </c>
      <c r="F69" s="13" t="n">
        <v>157975.2</v>
      </c>
      <c r="G69" s="12" t="n">
        <v>171.97</v>
      </c>
      <c r="H69" s="12" t="n">
        <v>118.6</v>
      </c>
      <c r="I69" s="12">
        <f>IF($H69&gt;0,$H69,IFERROR($G69/Import_Mapping!$B$7,0))</f>
        <v/>
      </c>
    </row>
    <row r="70">
      <c r="A70" s="11" t="n">
        <v>46066</v>
      </c>
      <c r="B70" s="20" t="inlineStr">
        <is>
          <t>Alpenmarkt GmbH</t>
        </is>
      </c>
      <c r="C70" s="20" t="inlineStr">
        <is>
          <t>DE-Sued</t>
        </is>
      </c>
      <c r="D70" s="20" t="inlineStr">
        <is>
          <t>Kuehlware</t>
        </is>
      </c>
      <c r="E70" s="14" t="n">
        <v>44304</v>
      </c>
      <c r="F70" s="13" t="n">
        <v>150633.6</v>
      </c>
      <c r="G70" s="12" t="n">
        <v>119.99</v>
      </c>
      <c r="H70" s="12" t="n">
        <v>92.3</v>
      </c>
      <c r="I70" s="12">
        <f>IF($H70&gt;0,$H70,IFERROR($G70/Import_Mapping!$B$7,0))</f>
        <v/>
      </c>
    </row>
    <row r="71">
      <c r="A71" s="11" t="n">
        <v>46067</v>
      </c>
      <c r="B71" s="20" t="inlineStr">
        <is>
          <t>Austria Markt GmbH</t>
        </is>
      </c>
      <c r="C71" s="20" t="inlineStr">
        <is>
          <t>AT</t>
        </is>
      </c>
      <c r="D71" s="20" t="inlineStr">
        <is>
          <t>Getraenke</t>
        </is>
      </c>
      <c r="E71" s="14" t="n">
        <v>57120</v>
      </c>
      <c r="F71" s="13" t="n">
        <v>54264</v>
      </c>
      <c r="G71" s="12" t="n">
        <v>92.23</v>
      </c>
      <c r="H71" s="12" t="n">
        <v>59.5</v>
      </c>
      <c r="I71" s="12">
        <f>IF($H71&gt;0,$H71,IFERROR($G71/Import_Mapping!$B$7,0))</f>
        <v/>
      </c>
    </row>
    <row r="72">
      <c r="A72" s="11" t="n">
        <v>46067</v>
      </c>
      <c r="B72" s="20" t="inlineStr">
        <is>
          <t>Hessen Vertrieb GmbH</t>
        </is>
      </c>
      <c r="C72" s="20" t="inlineStr">
        <is>
          <t>DE-Mitte</t>
        </is>
      </c>
      <c r="D72" s="20" t="inlineStr">
        <is>
          <t>Getraenke</t>
        </is>
      </c>
      <c r="E72" s="14" t="n">
        <v>140064</v>
      </c>
      <c r="F72" s="13" t="n">
        <v>133060.8</v>
      </c>
      <c r="G72" s="12" t="n">
        <v>226.15</v>
      </c>
      <c r="H72" s="12" t="n">
        <v>145.9</v>
      </c>
      <c r="I72" s="12">
        <f>IF($H72&gt;0,$H72,IFERROR($G72/Import_Mapping!$B$7,0))</f>
        <v/>
      </c>
    </row>
    <row r="73">
      <c r="A73" s="11" t="n">
        <v>46067</v>
      </c>
      <c r="B73" s="20" t="inlineStr">
        <is>
          <t>Ruhr Frische GmbH</t>
        </is>
      </c>
      <c r="C73" s="20" t="inlineStr">
        <is>
          <t>DE-West</t>
        </is>
      </c>
      <c r="D73" s="20" t="inlineStr">
        <is>
          <t>Kuehlware</t>
        </is>
      </c>
      <c r="E73" s="14" t="n">
        <v>56208</v>
      </c>
      <c r="F73" s="13" t="n">
        <v>191107.2</v>
      </c>
      <c r="G73" s="12" t="n">
        <v>152.23</v>
      </c>
      <c r="H73" s="12" t="n">
        <v>117.1</v>
      </c>
      <c r="I73" s="12">
        <f>IF($H73&gt;0,$H73,IFERROR($G73/Import_Mapping!$B$7,0))</f>
        <v/>
      </c>
    </row>
    <row r="74">
      <c r="A74" s="11" t="n">
        <v>46068</v>
      </c>
      <c r="B74" s="20" t="inlineStr">
        <is>
          <t>Spree Markt AG</t>
        </is>
      </c>
      <c r="C74" s="20" t="inlineStr">
        <is>
          <t>DE-Ost</t>
        </is>
      </c>
      <c r="D74" s="20" t="inlineStr">
        <is>
          <t>Getraenke</t>
        </is>
      </c>
      <c r="E74" s="14" t="n">
        <v>127104</v>
      </c>
      <c r="F74" s="13" t="n">
        <v>120748.8</v>
      </c>
      <c r="G74" s="12" t="n">
        <v>205.22</v>
      </c>
      <c r="H74" s="12" t="n">
        <v>132.4</v>
      </c>
      <c r="I74" s="12">
        <f>IF($H74&gt;0,$H74,IFERROR($G74/Import_Mapping!$B$7,0))</f>
        <v/>
      </c>
    </row>
    <row r="75">
      <c r="A75" s="11" t="n">
        <v>46068</v>
      </c>
      <c r="B75" s="20" t="inlineStr">
        <is>
          <t>Westfilial AG</t>
        </is>
      </c>
      <c r="C75" s="20" t="inlineStr">
        <is>
          <t>DE-West</t>
        </is>
      </c>
      <c r="D75" s="20" t="inlineStr">
        <is>
          <t>Trockensortiment</t>
        </is>
      </c>
      <c r="E75" s="14" t="n">
        <v>155592</v>
      </c>
      <c r="F75" s="13" t="n">
        <v>287845.2</v>
      </c>
      <c r="G75" s="12" t="n">
        <v>313.34</v>
      </c>
      <c r="H75" s="12" t="n">
        <v>216.1</v>
      </c>
      <c r="I75" s="12">
        <f>IF($H75&gt;0,$H75,IFERROR($G75/Import_Mapping!$B$7,0))</f>
        <v/>
      </c>
    </row>
    <row r="76">
      <c r="A76" s="11" t="n">
        <v>46071</v>
      </c>
      <c r="B76" s="20" t="inlineStr">
        <is>
          <t>Odra Handel Sp.</t>
        </is>
      </c>
      <c r="C76" s="20" t="inlineStr">
        <is>
          <t>PL</t>
        </is>
      </c>
      <c r="D76" s="20" t="inlineStr">
        <is>
          <t>Trockensortiment</t>
        </is>
      </c>
      <c r="E76" s="14" t="n">
        <v>26712</v>
      </c>
      <c r="F76" s="13" t="n">
        <v>49417.2</v>
      </c>
      <c r="G76" s="12" t="n">
        <v>53.8</v>
      </c>
      <c r="H76" s="12" t="n">
        <v>37.1</v>
      </c>
      <c r="I76" s="12">
        <f>IF($H76&gt;0,$H76,IFERROR($G76/Import_Mapping!$B$7,0))</f>
        <v/>
      </c>
    </row>
    <row r="77">
      <c r="A77" s="11" t="n">
        <v>46072</v>
      </c>
      <c r="B77" s="20" t="inlineStr">
        <is>
          <t>Austria Markt GmbH</t>
        </is>
      </c>
      <c r="C77" s="20" t="inlineStr">
        <is>
          <t>AT</t>
        </is>
      </c>
      <c r="D77" s="20" t="inlineStr">
        <is>
          <t>Non-Food</t>
        </is>
      </c>
      <c r="E77" s="14" t="n">
        <v>5016</v>
      </c>
      <c r="F77" s="13" t="n">
        <v>62700</v>
      </c>
      <c r="G77" s="12" t="n">
        <v>33.44</v>
      </c>
      <c r="H77" s="12" t="n">
        <v>20.9</v>
      </c>
      <c r="I77" s="12">
        <f>IF($H77&gt;0,$H77,IFERROR($G77/Import_Mapping!$B$7,0))</f>
        <v/>
      </c>
    </row>
    <row r="78">
      <c r="A78" s="11" t="n">
        <v>46072</v>
      </c>
      <c r="B78" s="20" t="inlineStr">
        <is>
          <t>Elbe Handel GmbH</t>
        </is>
      </c>
      <c r="C78" s="20" t="inlineStr">
        <is>
          <t>DE-Nord</t>
        </is>
      </c>
      <c r="D78" s="20" t="inlineStr">
        <is>
          <t>Aktionsware</t>
        </is>
      </c>
      <c r="E78" s="14" t="n">
        <v>11376</v>
      </c>
      <c r="F78" s="13" t="n">
        <v>70531.2</v>
      </c>
      <c r="G78" s="12" t="n">
        <v>47.4</v>
      </c>
      <c r="H78" s="12" t="n">
        <v>31.6</v>
      </c>
      <c r="I78" s="12">
        <f>IF($H78&gt;0,$H78,IFERROR($G78/Import_Mapping!$B$7,0))</f>
        <v/>
      </c>
    </row>
    <row r="79">
      <c r="A79" s="11" t="n">
        <v>46072</v>
      </c>
      <c r="B79" s="20" t="inlineStr">
        <is>
          <t>Alpenmarkt GmbH</t>
        </is>
      </c>
      <c r="C79" s="20" t="inlineStr">
        <is>
          <t>DE-Sued</t>
        </is>
      </c>
      <c r="D79" s="20" t="inlineStr">
        <is>
          <t>Getraenke</t>
        </is>
      </c>
      <c r="E79" s="14" t="n">
        <v>241440</v>
      </c>
      <c r="F79" s="13" t="n">
        <v>229368</v>
      </c>
      <c r="G79" s="12" t="n">
        <v>389.82</v>
      </c>
      <c r="H79" s="12" t="n">
        <v>251.5</v>
      </c>
      <c r="I79" s="12">
        <f>IF($H79&gt;0,$H79,IFERROR($G79/Import_Mapping!$B$7,0))</f>
        <v/>
      </c>
    </row>
    <row r="80">
      <c r="A80" s="11" t="n">
        <v>46073</v>
      </c>
      <c r="B80" s="20" t="inlineStr">
        <is>
          <t>Sachsen Handel GmbH</t>
        </is>
      </c>
      <c r="C80" s="20" t="inlineStr">
        <is>
          <t>DE-Ost</t>
        </is>
      </c>
      <c r="D80" s="20" t="inlineStr">
        <is>
          <t>Kuehlware</t>
        </is>
      </c>
      <c r="E80" s="14" t="n">
        <v>32880</v>
      </c>
      <c r="F80" s="13" t="n">
        <v>111792</v>
      </c>
      <c r="G80" s="12" t="n">
        <v>89.05</v>
      </c>
      <c r="H80" s="12" t="n">
        <v>68.5</v>
      </c>
      <c r="I80" s="12">
        <f>IF($H80&gt;0,$H80,IFERROR($G80/Import_Mapping!$B$7,0))</f>
        <v/>
      </c>
    </row>
    <row r="81">
      <c r="A81" s="11" t="n">
        <v>46074</v>
      </c>
      <c r="B81" s="20" t="inlineStr">
        <is>
          <t>Randstad Retail BV</t>
        </is>
      </c>
      <c r="C81" s="20" t="inlineStr">
        <is>
          <t>NL</t>
        </is>
      </c>
      <c r="D81" s="20" t="inlineStr">
        <is>
          <t>Trockensortiment</t>
        </is>
      </c>
      <c r="E81" s="14" t="n">
        <v>51336</v>
      </c>
      <c r="F81" s="13" t="n">
        <v>94971.60000000001</v>
      </c>
      <c r="G81" s="12" t="n">
        <v>103.38</v>
      </c>
      <c r="H81" s="12" t="n">
        <v>71.3</v>
      </c>
      <c r="I81" s="12">
        <f>IF($H81&gt;0,$H81,IFERROR($G81/Import_Mapping!$B$7,0))</f>
        <v/>
      </c>
    </row>
    <row r="82">
      <c r="A82" s="11" t="n">
        <v>46075</v>
      </c>
      <c r="B82" s="20" t="inlineStr">
        <is>
          <t>Odra Handel Sp.</t>
        </is>
      </c>
      <c r="C82" s="20" t="inlineStr">
        <is>
          <t>PL</t>
        </is>
      </c>
      <c r="D82" s="20" t="inlineStr">
        <is>
          <t>Kuehlware</t>
        </is>
      </c>
      <c r="E82" s="14" t="n">
        <v>9552</v>
      </c>
      <c r="F82" s="13" t="n">
        <v>32476.8</v>
      </c>
      <c r="G82" s="12" t="n">
        <v>25.87</v>
      </c>
      <c r="H82" s="12" t="n">
        <v>19.9</v>
      </c>
      <c r="I82" s="12">
        <f>IF($H82&gt;0,$H82,IFERROR($G82/Import_Mapping!$B$7,0))</f>
        <v/>
      </c>
    </row>
    <row r="83">
      <c r="A83" s="11" t="n">
        <v>46077</v>
      </c>
      <c r="B83" s="20" t="inlineStr">
        <is>
          <t>Mainpunkt Handel</t>
        </is>
      </c>
      <c r="C83" s="20" t="inlineStr">
        <is>
          <t>DE-Mitte</t>
        </is>
      </c>
      <c r="D83" s="20" t="inlineStr">
        <is>
          <t>Aktionsware</t>
        </is>
      </c>
      <c r="E83" s="14" t="n">
        <v>9540</v>
      </c>
      <c r="F83" s="13" t="n">
        <v>59148</v>
      </c>
      <c r="G83" s="12" t="n">
        <v>39.75</v>
      </c>
      <c r="H83" s="12" t="n">
        <v>26.5</v>
      </c>
      <c r="I83" s="12">
        <f>IF($H83&gt;0,$H83,IFERROR($G83/Import_Mapping!$B$7,0))</f>
        <v/>
      </c>
    </row>
    <row r="84">
      <c r="A84" s="11" t="n">
        <v>46078</v>
      </c>
      <c r="B84" s="20" t="inlineStr">
        <is>
          <t>Delta Foods BV</t>
        </is>
      </c>
      <c r="C84" s="20" t="inlineStr">
        <is>
          <t>NL</t>
        </is>
      </c>
      <c r="D84" s="20" t="inlineStr">
        <is>
          <t>Aktionsware</t>
        </is>
      </c>
      <c r="E84" s="14" t="n">
        <v>5436</v>
      </c>
      <c r="F84" s="13" t="n">
        <v>33703.2</v>
      </c>
      <c r="G84" s="12" t="n">
        <v>22.65</v>
      </c>
      <c r="H84" s="12" t="n">
        <v>15.1</v>
      </c>
      <c r="I84" s="12">
        <f>IF($H84&gt;0,$H84,IFERROR($G84/Import_Mapping!$B$7,0))</f>
        <v/>
      </c>
    </row>
    <row r="85">
      <c r="A85" s="11" t="n">
        <v>46082</v>
      </c>
      <c r="B85" s="20" t="inlineStr">
        <is>
          <t>Kuestenlager KG</t>
        </is>
      </c>
      <c r="C85" s="20" t="inlineStr">
        <is>
          <t>DE-Nord</t>
        </is>
      </c>
      <c r="D85" s="20" t="inlineStr">
        <is>
          <t>Aktionsware</t>
        </is>
      </c>
      <c r="E85" s="14" t="n">
        <v>9864</v>
      </c>
      <c r="F85" s="13" t="n">
        <v>61156.8</v>
      </c>
      <c r="G85" s="12" t="n">
        <v>41.1</v>
      </c>
      <c r="H85" s="12" t="n">
        <v>27.4</v>
      </c>
      <c r="I85" s="12">
        <f>IF($H85&gt;0,$H85,IFERROR($G85/Import_Mapping!$B$7,0))</f>
        <v/>
      </c>
    </row>
    <row r="86">
      <c r="A86" s="11" t="n">
        <v>46082</v>
      </c>
      <c r="B86" s="20" t="inlineStr">
        <is>
          <t>Spree Markt AG</t>
        </is>
      </c>
      <c r="C86" s="20" t="inlineStr">
        <is>
          <t>DE-Ost</t>
        </is>
      </c>
      <c r="D86" s="20" t="inlineStr">
        <is>
          <t>Non-Food</t>
        </is>
      </c>
      <c r="E86" s="14" t="n">
        <v>6888</v>
      </c>
      <c r="F86" s="13" t="n">
        <v>86100</v>
      </c>
      <c r="G86" s="12" t="n">
        <v>45.92</v>
      </c>
      <c r="H86" s="12" t="n">
        <v>28.7</v>
      </c>
      <c r="I86" s="12">
        <f>IF($H86&gt;0,$H86,IFERROR($G86/Import_Mapping!$B$7,0))</f>
        <v/>
      </c>
    </row>
    <row r="87">
      <c r="A87" s="11" t="n">
        <v>46083</v>
      </c>
      <c r="B87" s="20" t="inlineStr">
        <is>
          <t>Delta Foods BV</t>
        </is>
      </c>
      <c r="C87" s="20" t="inlineStr">
        <is>
          <t>NL</t>
        </is>
      </c>
      <c r="D87" s="20" t="inlineStr">
        <is>
          <t>Aktionsware</t>
        </is>
      </c>
      <c r="E87" s="14" t="n">
        <v>5040</v>
      </c>
      <c r="F87" s="13" t="n">
        <v>31248</v>
      </c>
      <c r="G87" s="12" t="n">
        <v>21</v>
      </c>
      <c r="H87" s="12" t="n">
        <v>14</v>
      </c>
      <c r="I87" s="12">
        <f>IF($H87&gt;0,$H87,IFERROR($G87/Import_Mapping!$B$7,0))</f>
        <v/>
      </c>
    </row>
    <row r="88">
      <c r="A88" s="11" t="n">
        <v>46083</v>
      </c>
      <c r="B88" s="20" t="inlineStr">
        <is>
          <t>Odra Handel Sp.</t>
        </is>
      </c>
      <c r="C88" s="20" t="inlineStr">
        <is>
          <t>PL</t>
        </is>
      </c>
      <c r="D88" s="20" t="inlineStr">
        <is>
          <t>Aktionsware</t>
        </is>
      </c>
      <c r="E88" s="14" t="n">
        <v>18648</v>
      </c>
      <c r="F88" s="13" t="n">
        <v>115617.6</v>
      </c>
      <c r="G88" s="12" t="n">
        <v>77.7</v>
      </c>
      <c r="H88" s="12" t="n">
        <v>51.8</v>
      </c>
      <c r="I88" s="12">
        <f>IF($H88&gt;0,$H88,IFERROR($G88/Import_Mapping!$B$7,0))</f>
        <v/>
      </c>
    </row>
    <row r="89">
      <c r="A89" s="11" t="n">
        <v>46084</v>
      </c>
      <c r="B89" s="20" t="inlineStr">
        <is>
          <t>Nordmarkt AG</t>
        </is>
      </c>
      <c r="C89" s="20" t="inlineStr">
        <is>
          <t>DE-Nord</t>
        </is>
      </c>
      <c r="D89" s="20" t="inlineStr">
        <is>
          <t>Non-Food</t>
        </is>
      </c>
      <c r="E89" s="14" t="n">
        <v>11280</v>
      </c>
      <c r="F89" s="13" t="n">
        <v>141000</v>
      </c>
      <c r="G89" s="12" t="n">
        <v>75.2</v>
      </c>
      <c r="H89" s="12" t="n">
        <v>47</v>
      </c>
      <c r="I89" s="12">
        <f>IF($H89&gt;0,$H89,IFERROR($G89/Import_Mapping!$B$7,0))</f>
        <v/>
      </c>
    </row>
    <row r="90">
      <c r="A90" s="11" t="n">
        <v>46084</v>
      </c>
      <c r="B90" s="20" t="inlineStr">
        <is>
          <t>Sued Filialen KG</t>
        </is>
      </c>
      <c r="C90" s="20" t="inlineStr">
        <is>
          <t>DE-Sued</t>
        </is>
      </c>
      <c r="D90" s="20" t="inlineStr">
        <is>
          <t>Aktionsware</t>
        </is>
      </c>
      <c r="E90" s="14" t="n">
        <v>10296</v>
      </c>
      <c r="F90" s="13" t="n">
        <v>63835.2</v>
      </c>
      <c r="G90" s="12" t="n">
        <v>42.9</v>
      </c>
      <c r="H90" s="12" t="n">
        <v>28.6</v>
      </c>
      <c r="I90" s="12">
        <f>IF($H90&gt;0,$H90,IFERROR($G90/Import_Mapping!$B$7,0))</f>
        <v/>
      </c>
    </row>
    <row r="91">
      <c r="A91" s="11" t="n">
        <v>46084</v>
      </c>
      <c r="B91" s="20" t="inlineStr">
        <is>
          <t>Ruhr Frische GmbH</t>
        </is>
      </c>
      <c r="C91" s="20" t="inlineStr">
        <is>
          <t>DE-West</t>
        </is>
      </c>
      <c r="D91" s="20" t="inlineStr">
        <is>
          <t>Non-Food</t>
        </is>
      </c>
      <c r="E91" s="14" t="n">
        <v>15792</v>
      </c>
      <c r="F91" s="13" t="n">
        <v>197400</v>
      </c>
      <c r="G91" s="12" t="n">
        <v>105.28</v>
      </c>
      <c r="H91" s="12" t="n">
        <v>65.8</v>
      </c>
      <c r="I91" s="12">
        <f>IF($H91&gt;0,$H91,IFERROR($G91/Import_Mapping!$B$7,0))</f>
        <v/>
      </c>
    </row>
    <row r="92">
      <c r="A92" s="11" t="n">
        <v>46085</v>
      </c>
      <c r="B92" s="20" t="inlineStr">
        <is>
          <t>Tirol Handel AG</t>
        </is>
      </c>
      <c r="C92" s="20" t="inlineStr">
        <is>
          <t>AT</t>
        </is>
      </c>
      <c r="D92" s="20" t="inlineStr">
        <is>
          <t>Non-Food</t>
        </is>
      </c>
      <c r="E92" s="14" t="n">
        <v>4704</v>
      </c>
      <c r="F92" s="13" t="n">
        <v>58800</v>
      </c>
      <c r="G92" s="12" t="n">
        <v>31.36</v>
      </c>
      <c r="H92" s="12" t="n">
        <v>19.6</v>
      </c>
      <c r="I92" s="12">
        <f>IF($H92&gt;0,$H92,IFERROR($G92/Import_Mapping!$B$7,0))</f>
        <v/>
      </c>
    </row>
    <row r="93">
      <c r="A93" s="11" t="n">
        <v>46085</v>
      </c>
      <c r="B93" s="20" t="inlineStr">
        <is>
          <t>Elbe Handel GmbH</t>
        </is>
      </c>
      <c r="C93" s="20" t="inlineStr">
        <is>
          <t>DE-Nord</t>
        </is>
      </c>
      <c r="D93" s="20" t="inlineStr">
        <is>
          <t>Kuehlware</t>
        </is>
      </c>
      <c r="E93" s="14" t="n">
        <v>74112</v>
      </c>
      <c r="F93" s="13" t="n">
        <v>251980.8</v>
      </c>
      <c r="G93" s="12" t="n">
        <v>200.72</v>
      </c>
      <c r="H93" s="12" t="n">
        <v>154.4</v>
      </c>
      <c r="I93" s="12">
        <f>IF($H93&gt;0,$H93,IFERROR($G93/Import_Mapping!$B$7,0))</f>
        <v/>
      </c>
    </row>
    <row r="94">
      <c r="A94" s="11" t="n">
        <v>46085</v>
      </c>
      <c r="B94" s="20" t="inlineStr">
        <is>
          <t>Spree Markt AG</t>
        </is>
      </c>
      <c r="C94" s="20" t="inlineStr">
        <is>
          <t>DE-Ost</t>
        </is>
      </c>
      <c r="D94" s="20" t="inlineStr">
        <is>
          <t>Trockensortiment</t>
        </is>
      </c>
      <c r="E94" s="14" t="n">
        <v>74736</v>
      </c>
      <c r="F94" s="13" t="n">
        <v>138261.6</v>
      </c>
      <c r="G94" s="12" t="n">
        <v>150.51</v>
      </c>
      <c r="H94" s="12" t="n">
        <v>103.8</v>
      </c>
      <c r="I94" s="12">
        <f>IF($H94&gt;0,$H94,IFERROR($G94/Import_Mapping!$B$7,0))</f>
        <v/>
      </c>
    </row>
    <row r="95">
      <c r="A95" s="11" t="n">
        <v>46085</v>
      </c>
      <c r="B95" s="20" t="inlineStr">
        <is>
          <t>Delta Foods BV</t>
        </is>
      </c>
      <c r="C95" s="20" t="inlineStr">
        <is>
          <t>NL</t>
        </is>
      </c>
      <c r="D95" s="20" t="inlineStr">
        <is>
          <t>Trockensortiment</t>
        </is>
      </c>
      <c r="E95" s="14" t="n">
        <v>47232</v>
      </c>
      <c r="F95" s="13" t="n">
        <v>87379.2</v>
      </c>
      <c r="G95" s="12" t="n">
        <v>95.12</v>
      </c>
      <c r="H95" s="12" t="n">
        <v>65.59999999999999</v>
      </c>
      <c r="I95" s="12">
        <f>IF($H95&gt;0,$H95,IFERROR($G95/Import_Mapping!$B$7,0))</f>
        <v/>
      </c>
    </row>
    <row r="96">
      <c r="A96" s="11" t="n">
        <v>46085</v>
      </c>
      <c r="B96" s="20" t="inlineStr">
        <is>
          <t>Wisla Retail Sp.</t>
        </is>
      </c>
      <c r="C96" s="20" t="inlineStr">
        <is>
          <t>PL</t>
        </is>
      </c>
      <c r="D96" s="20" t="inlineStr">
        <is>
          <t>Getraenke</t>
        </is>
      </c>
      <c r="E96" s="14" t="n">
        <v>45984</v>
      </c>
      <c r="F96" s="13" t="n">
        <v>43684.8</v>
      </c>
      <c r="G96" s="12" t="n">
        <v>74.25</v>
      </c>
      <c r="H96" s="12" t="n">
        <v>47.9</v>
      </c>
      <c r="I96" s="12">
        <f>IF($H96&gt;0,$H96,IFERROR($G96/Import_Mapping!$B$7,0))</f>
        <v/>
      </c>
    </row>
    <row r="97">
      <c r="A97" s="11" t="n">
        <v>46086</v>
      </c>
      <c r="B97" s="20" t="inlineStr">
        <is>
          <t>Tirol Handel AG</t>
        </is>
      </c>
      <c r="C97" s="20" t="inlineStr">
        <is>
          <t>AT</t>
        </is>
      </c>
      <c r="D97" s="20" t="inlineStr">
        <is>
          <t>Aktionsware</t>
        </is>
      </c>
      <c r="E97" s="14" t="n">
        <v>3600</v>
      </c>
      <c r="F97" s="13" t="n">
        <v>22320</v>
      </c>
      <c r="G97" s="12" t="n">
        <v>15</v>
      </c>
      <c r="H97" s="12" t="n">
        <v>10</v>
      </c>
      <c r="I97" s="12">
        <f>IF($H97&gt;0,$H97,IFERROR($G97/Import_Mapping!$B$7,0))</f>
        <v/>
      </c>
    </row>
    <row r="98">
      <c r="A98" s="11" t="n">
        <v>46086</v>
      </c>
      <c r="B98" s="20" t="inlineStr">
        <is>
          <t>Randstad Retail BV</t>
        </is>
      </c>
      <c r="C98" s="20" t="inlineStr">
        <is>
          <t>NL</t>
        </is>
      </c>
      <c r="D98" s="20" t="inlineStr">
        <is>
          <t>Getraenke</t>
        </is>
      </c>
      <c r="E98" s="14" t="n">
        <v>56544</v>
      </c>
      <c r="F98" s="13" t="n">
        <v>53716.8</v>
      </c>
      <c r="G98" s="12" t="n">
        <v>91.3</v>
      </c>
      <c r="H98" s="12" t="n">
        <v>58.9</v>
      </c>
      <c r="I98" s="12">
        <f>IF($H98&gt;0,$H98,IFERROR($G98/Import_Mapping!$B$7,0))</f>
        <v/>
      </c>
    </row>
    <row r="99">
      <c r="A99" s="11" t="n">
        <v>46086</v>
      </c>
      <c r="B99" s="20" t="inlineStr">
        <is>
          <t>Randstad Retail BV</t>
        </is>
      </c>
      <c r="C99" s="20" t="inlineStr">
        <is>
          <t>NL</t>
        </is>
      </c>
      <c r="D99" s="20" t="inlineStr">
        <is>
          <t>Non-Food</t>
        </is>
      </c>
      <c r="E99" s="14" t="n">
        <v>7512</v>
      </c>
      <c r="F99" s="13" t="n">
        <v>93900</v>
      </c>
      <c r="G99" s="12" t="n">
        <v>50.08</v>
      </c>
      <c r="H99" s="12" t="n">
        <v>31.3</v>
      </c>
      <c r="I99" s="12">
        <f>IF($H99&gt;0,$H99,IFERROR($G99/Import_Mapping!$B$7,0))</f>
        <v/>
      </c>
    </row>
    <row r="100">
      <c r="A100" s="11" t="n">
        <v>46087</v>
      </c>
      <c r="B100" s="20" t="inlineStr">
        <is>
          <t>Mainpunkt Handel</t>
        </is>
      </c>
      <c r="C100" s="20" t="inlineStr">
        <is>
          <t>DE-Mitte</t>
        </is>
      </c>
      <c r="D100" s="20" t="inlineStr">
        <is>
          <t>Trockensortiment</t>
        </is>
      </c>
      <c r="E100" s="14" t="n">
        <v>105264</v>
      </c>
      <c r="F100" s="13" t="n">
        <v>194738.4</v>
      </c>
      <c r="G100" s="12" t="n">
        <v>211.99</v>
      </c>
      <c r="H100" s="12" t="n">
        <v>146.2</v>
      </c>
      <c r="I100" s="12">
        <f>IF($H100&gt;0,$H100,IFERROR($G100/Import_Mapping!$B$7,0))</f>
        <v/>
      </c>
    </row>
    <row r="101">
      <c r="A101" s="11" t="n">
        <v>46090</v>
      </c>
      <c r="B101" s="20" t="inlineStr">
        <is>
          <t>Westfilial AG</t>
        </is>
      </c>
      <c r="C101" s="20" t="inlineStr">
        <is>
          <t>DE-West</t>
        </is>
      </c>
      <c r="D101" s="20" t="inlineStr">
        <is>
          <t>Getraenke</t>
        </is>
      </c>
      <c r="E101" s="14" t="n">
        <v>244608</v>
      </c>
      <c r="F101" s="13" t="n">
        <v>232377.6</v>
      </c>
      <c r="G101" s="12" t="n">
        <v>394.94</v>
      </c>
      <c r="H101" s="12" t="n">
        <v>254.8</v>
      </c>
      <c r="I101" s="12">
        <f>IF($H101&gt;0,$H101,IFERROR($G101/Import_Mapping!$B$7,0))</f>
        <v/>
      </c>
    </row>
    <row r="102">
      <c r="A102" s="11" t="n">
        <v>46090</v>
      </c>
      <c r="B102" s="20" t="inlineStr">
        <is>
          <t>Rheinland Retail SE</t>
        </is>
      </c>
      <c r="C102" s="20" t="inlineStr">
        <is>
          <t>DE-West</t>
        </is>
      </c>
      <c r="D102" s="20" t="inlineStr">
        <is>
          <t>Trockensortiment</t>
        </is>
      </c>
      <c r="E102" s="14" t="n">
        <v>198000</v>
      </c>
      <c r="F102" s="13" t="n">
        <v>366300</v>
      </c>
      <c r="G102" s="12" t="n">
        <v>398.75</v>
      </c>
      <c r="H102" s="12" t="n">
        <v>275</v>
      </c>
      <c r="I102" s="12">
        <f>IF($H102&gt;0,$H102,IFERROR($G102/Import_Mapping!$B$7,0))</f>
        <v/>
      </c>
    </row>
    <row r="103">
      <c r="A103" s="11" t="n">
        <v>46090</v>
      </c>
      <c r="B103" s="20" t="inlineStr">
        <is>
          <t>Delta Foods BV</t>
        </is>
      </c>
      <c r="C103" s="20" t="inlineStr">
        <is>
          <t>NL</t>
        </is>
      </c>
      <c r="D103" s="20" t="inlineStr">
        <is>
          <t>Kuehlware</t>
        </is>
      </c>
      <c r="E103" s="14" t="n">
        <v>29904</v>
      </c>
      <c r="F103" s="13" t="n">
        <v>101673.6</v>
      </c>
      <c r="G103" s="12" t="n">
        <v>80.98999999999999</v>
      </c>
      <c r="H103" s="12" t="n">
        <v>62.3</v>
      </c>
      <c r="I103" s="12">
        <f>IF($H103&gt;0,$H103,IFERROR($G103/Import_Mapping!$B$7,0))</f>
        <v/>
      </c>
    </row>
    <row r="104">
      <c r="A104" s="11" t="n">
        <v>46091</v>
      </c>
      <c r="B104" s="20" t="inlineStr">
        <is>
          <t>Tirol Handel AG</t>
        </is>
      </c>
      <c r="C104" s="20" t="inlineStr">
        <is>
          <t>AT</t>
        </is>
      </c>
      <c r="D104" s="20" t="inlineStr">
        <is>
          <t>Kuehlware</t>
        </is>
      </c>
      <c r="E104" s="14" t="n">
        <v>14400</v>
      </c>
      <c r="F104" s="13" t="n">
        <v>48960</v>
      </c>
      <c r="G104" s="12" t="n">
        <v>39</v>
      </c>
      <c r="H104" s="12" t="n">
        <v>30</v>
      </c>
      <c r="I104" s="12">
        <f>IF($H104&gt;0,$H104,IFERROR($G104/Import_Mapping!$B$7,0))</f>
        <v/>
      </c>
    </row>
    <row r="105">
      <c r="A105" s="11" t="n">
        <v>46092</v>
      </c>
      <c r="B105" s="20" t="inlineStr">
        <is>
          <t>Sued Filialen KG</t>
        </is>
      </c>
      <c r="C105" s="20" t="inlineStr">
        <is>
          <t>DE-Sued</t>
        </is>
      </c>
      <c r="D105" s="20" t="inlineStr">
        <is>
          <t>Non-Food</t>
        </is>
      </c>
      <c r="E105" s="14" t="n">
        <v>15288</v>
      </c>
      <c r="F105" s="13" t="n">
        <v>191100</v>
      </c>
      <c r="G105" s="12" t="n">
        <v>101.92</v>
      </c>
      <c r="H105" s="12" t="n">
        <v>63.7</v>
      </c>
      <c r="I105" s="12">
        <f>IF($H105&gt;0,$H105,IFERROR($G105/Import_Mapping!$B$7,0))</f>
        <v/>
      </c>
    </row>
    <row r="106">
      <c r="A106" s="11" t="n">
        <v>46093</v>
      </c>
      <c r="B106" s="20" t="inlineStr">
        <is>
          <t>Tirol Handel AG</t>
        </is>
      </c>
      <c r="C106" s="20" t="inlineStr">
        <is>
          <t>AT</t>
        </is>
      </c>
      <c r="D106" s="20" t="inlineStr">
        <is>
          <t>Getraenke</t>
        </is>
      </c>
      <c r="E106" s="14" t="n">
        <v>69696</v>
      </c>
      <c r="F106" s="13" t="n">
        <v>66211.2</v>
      </c>
      <c r="G106" s="12" t="n">
        <v>112.53</v>
      </c>
      <c r="H106" s="12" t="n">
        <v>72.59999999999999</v>
      </c>
      <c r="I106" s="12">
        <f>IF($H106&gt;0,$H106,IFERROR($G106/Import_Mapping!$B$7,0))</f>
        <v/>
      </c>
    </row>
    <row r="107">
      <c r="A107" s="11" t="n">
        <v>46096</v>
      </c>
      <c r="B107" s="20" t="inlineStr">
        <is>
          <t>Hessen Vertrieb GmbH</t>
        </is>
      </c>
      <c r="C107" s="20" t="inlineStr">
        <is>
          <t>DE-Mitte</t>
        </is>
      </c>
      <c r="D107" s="20" t="inlineStr">
        <is>
          <t>Aktionsware</t>
        </is>
      </c>
      <c r="E107" s="14" t="n">
        <v>7848</v>
      </c>
      <c r="F107" s="13" t="n">
        <v>48657.6</v>
      </c>
      <c r="G107" s="12" t="n">
        <v>32.7</v>
      </c>
      <c r="H107" s="12" t="n">
        <v>21.8</v>
      </c>
      <c r="I107" s="12">
        <f>IF($H107&gt;0,$H107,IFERROR($G107/Import_Mapping!$B$7,0))</f>
        <v/>
      </c>
    </row>
    <row r="108">
      <c r="A108" s="11" t="n">
        <v>46096</v>
      </c>
      <c r="B108" s="20" t="inlineStr">
        <is>
          <t>Donau Handel AG</t>
        </is>
      </c>
      <c r="C108" s="20" t="inlineStr">
        <is>
          <t>DE-Sued</t>
        </is>
      </c>
      <c r="D108" s="20" t="inlineStr">
        <is>
          <t>Getraenke</t>
        </is>
      </c>
      <c r="E108" s="14" t="n">
        <v>256512</v>
      </c>
      <c r="F108" s="13" t="n">
        <v>243686.4</v>
      </c>
      <c r="G108" s="12" t="n">
        <v>414.16</v>
      </c>
      <c r="H108" s="12" t="n">
        <v>267.2</v>
      </c>
      <c r="I108" s="12">
        <f>IF($H108&gt;0,$H108,IFERROR($G108/Import_Mapping!$B$7,0))</f>
        <v/>
      </c>
    </row>
    <row r="109">
      <c r="A109" s="11" t="n">
        <v>46097</v>
      </c>
      <c r="B109" s="20" t="inlineStr">
        <is>
          <t>Mainpunkt Handel</t>
        </is>
      </c>
      <c r="C109" s="20" t="inlineStr">
        <is>
          <t>DE-Mitte</t>
        </is>
      </c>
      <c r="D109" s="20" t="inlineStr">
        <is>
          <t>Getraenke</t>
        </is>
      </c>
      <c r="E109" s="14" t="n">
        <v>177504</v>
      </c>
      <c r="F109" s="13" t="n">
        <v>168628.8</v>
      </c>
      <c r="G109" s="12" t="n">
        <v>286.6</v>
      </c>
      <c r="H109" s="12" t="n">
        <v>184.9</v>
      </c>
      <c r="I109" s="12">
        <f>IF($H109&gt;0,$H109,IFERROR($G109/Import_Mapping!$B$7,0))</f>
        <v/>
      </c>
    </row>
    <row r="110">
      <c r="A110" s="11" t="n">
        <v>46097</v>
      </c>
      <c r="B110" s="20" t="inlineStr">
        <is>
          <t>Elbe Handel GmbH</t>
        </is>
      </c>
      <c r="C110" s="20" t="inlineStr">
        <is>
          <t>DE-Nord</t>
        </is>
      </c>
      <c r="D110" s="20" t="inlineStr">
        <is>
          <t>Trockensortiment</t>
        </is>
      </c>
      <c r="E110" s="14" t="n">
        <v>146232</v>
      </c>
      <c r="F110" s="13" t="n">
        <v>270529.2</v>
      </c>
      <c r="G110" s="12" t="n">
        <v>294.5</v>
      </c>
      <c r="H110" s="12" t="n">
        <v>203.1</v>
      </c>
      <c r="I110" s="12">
        <f>IF($H110&gt;0,$H110,IFERROR($G110/Import_Mapping!$B$7,0))</f>
        <v/>
      </c>
    </row>
    <row r="111">
      <c r="A111" s="11" t="n">
        <v>46098</v>
      </c>
      <c r="B111" s="20" t="inlineStr">
        <is>
          <t>Hessen Vertrieb GmbH</t>
        </is>
      </c>
      <c r="C111" s="20" t="inlineStr">
        <is>
          <t>DE-Mitte</t>
        </is>
      </c>
      <c r="D111" s="20" t="inlineStr">
        <is>
          <t>Kuehlware</t>
        </is>
      </c>
      <c r="E111" s="14" t="n">
        <v>38352</v>
      </c>
      <c r="F111" s="13" t="n">
        <v>130396.8</v>
      </c>
      <c r="G111" s="12" t="n">
        <v>103.87</v>
      </c>
      <c r="H111" s="12" t="n">
        <v>79.90000000000001</v>
      </c>
      <c r="I111" s="12">
        <f>IF($H111&gt;0,$H111,IFERROR($G111/Import_Mapping!$B$7,0))</f>
        <v/>
      </c>
    </row>
    <row r="112">
      <c r="A112" s="11" t="n">
        <v>46098</v>
      </c>
      <c r="B112" s="20" t="inlineStr">
        <is>
          <t>Odra Handel Sp.</t>
        </is>
      </c>
      <c r="C112" s="20" t="inlineStr">
        <is>
          <t>PL</t>
        </is>
      </c>
      <c r="D112" s="20" t="inlineStr">
        <is>
          <t>Kuehlware</t>
        </is>
      </c>
      <c r="E112" s="14" t="n">
        <v>8352</v>
      </c>
      <c r="F112" s="13" t="n">
        <v>28396.8</v>
      </c>
      <c r="G112" s="12" t="n">
        <v>22.62</v>
      </c>
      <c r="H112" s="12" t="n">
        <v>17.4</v>
      </c>
      <c r="I112" s="12">
        <f>IF($H112&gt;0,$H112,IFERROR($G112/Import_Mapping!$B$7,0))</f>
        <v/>
      </c>
    </row>
    <row r="113">
      <c r="A113" s="11" t="n">
        <v>46099</v>
      </c>
      <c r="B113" s="20" t="inlineStr">
        <is>
          <t>Spree Markt AG</t>
        </is>
      </c>
      <c r="C113" s="20" t="inlineStr">
        <is>
          <t>DE-Ost</t>
        </is>
      </c>
      <c r="D113" s="20" t="inlineStr">
        <is>
          <t>Aktionsware</t>
        </is>
      </c>
      <c r="E113" s="14" t="n">
        <v>6804</v>
      </c>
      <c r="F113" s="13" t="n">
        <v>42184.8</v>
      </c>
      <c r="G113" s="12" t="n">
        <v>28.35</v>
      </c>
      <c r="H113" s="12" t="n">
        <v>18.9</v>
      </c>
      <c r="I113" s="12">
        <f>IF($H113&gt;0,$H113,IFERROR($G113/Import_Mapping!$B$7,0))</f>
        <v/>
      </c>
    </row>
    <row r="114">
      <c r="A114" s="11" t="n">
        <v>46099</v>
      </c>
      <c r="B114" s="20" t="inlineStr">
        <is>
          <t>Alpenmarkt GmbH</t>
        </is>
      </c>
      <c r="C114" s="20" t="inlineStr">
        <is>
          <t>DE-Sued</t>
        </is>
      </c>
      <c r="D114" s="20" t="inlineStr">
        <is>
          <t>Kuehlware</t>
        </is>
      </c>
      <c r="E114" s="14" t="n">
        <v>47184</v>
      </c>
      <c r="F114" s="13" t="n">
        <v>160425.6</v>
      </c>
      <c r="G114" s="12" t="n">
        <v>127.79</v>
      </c>
      <c r="H114" s="12" t="n">
        <v>98.3</v>
      </c>
      <c r="I114" s="12">
        <f>IF($H114&gt;0,$H114,IFERROR($G114/Import_Mapping!$B$7,0))</f>
        <v/>
      </c>
    </row>
    <row r="115">
      <c r="A115" s="11" t="n">
        <v>46099</v>
      </c>
      <c r="B115" s="20" t="inlineStr">
        <is>
          <t>Rheinland Retail SE</t>
        </is>
      </c>
      <c r="C115" s="20" t="inlineStr">
        <is>
          <t>DE-West</t>
        </is>
      </c>
      <c r="D115" s="20" t="inlineStr">
        <is>
          <t>Aktionsware</t>
        </is>
      </c>
      <c r="E115" s="14" t="n">
        <v>14508</v>
      </c>
      <c r="F115" s="13" t="n">
        <v>89949.60000000001</v>
      </c>
      <c r="G115" s="12" t="n">
        <v>60.45</v>
      </c>
      <c r="H115" s="12" t="n">
        <v>40.3</v>
      </c>
      <c r="I115" s="12">
        <f>IF($H115&gt;0,$H115,IFERROR($G115/Import_Mapping!$B$7,0))</f>
        <v/>
      </c>
    </row>
    <row r="116">
      <c r="A116" s="11" t="n">
        <v>46099</v>
      </c>
      <c r="B116" s="20" t="inlineStr">
        <is>
          <t>Rheinland Retail SE</t>
        </is>
      </c>
      <c r="C116" s="20" t="inlineStr">
        <is>
          <t>DE-West</t>
        </is>
      </c>
      <c r="D116" s="20" t="inlineStr">
        <is>
          <t>Kuehlware</t>
        </is>
      </c>
      <c r="E116" s="14" t="n">
        <v>61728</v>
      </c>
      <c r="F116" s="13" t="n">
        <v>209875.2</v>
      </c>
      <c r="G116" s="12" t="n">
        <v>167.18</v>
      </c>
      <c r="H116" s="12" t="n">
        <v>128.6</v>
      </c>
      <c r="I116" s="12">
        <f>IF($H116&gt;0,$H116,IFERROR($G116/Import_Mapping!$B$7,0))</f>
        <v/>
      </c>
    </row>
    <row r="117">
      <c r="A117" s="11" t="n">
        <v>46100</v>
      </c>
      <c r="B117" s="20" t="inlineStr">
        <is>
          <t>Odra Handel Sp.</t>
        </is>
      </c>
      <c r="C117" s="20" t="inlineStr">
        <is>
          <t>PL</t>
        </is>
      </c>
      <c r="D117" s="20" t="inlineStr">
        <is>
          <t>Non-Food</t>
        </is>
      </c>
      <c r="E117" s="14" t="n">
        <v>13656</v>
      </c>
      <c r="F117" s="13" t="n">
        <v>170700</v>
      </c>
      <c r="G117" s="12" t="n">
        <v>91.04000000000001</v>
      </c>
      <c r="H117" s="12" t="n">
        <v>56.9</v>
      </c>
      <c r="I117" s="12">
        <f>IF($H117&gt;0,$H117,IFERROR($G117/Import_Mapping!$B$7,0))</f>
        <v/>
      </c>
    </row>
    <row r="118">
      <c r="A118" s="11" t="n">
        <v>46101</v>
      </c>
      <c r="B118" s="20" t="inlineStr">
        <is>
          <t>Donau Handel AG</t>
        </is>
      </c>
      <c r="C118" s="20" t="inlineStr">
        <is>
          <t>DE-Sued</t>
        </is>
      </c>
      <c r="D118" s="20" t="inlineStr">
        <is>
          <t>Trockensortiment</t>
        </is>
      </c>
      <c r="E118" s="14" t="n">
        <v>146952</v>
      </c>
      <c r="F118" s="13" t="n">
        <v>271861.2</v>
      </c>
      <c r="G118" s="12" t="n">
        <v>295.94</v>
      </c>
      <c r="H118" s="12" t="n">
        <v>204.1</v>
      </c>
      <c r="I118" s="12">
        <f>IF($H118&gt;0,$H118,IFERROR($G118/Import_Mapping!$B$7,0))</f>
        <v/>
      </c>
    </row>
    <row r="119">
      <c r="A119" s="11" t="n">
        <v>46102</v>
      </c>
      <c r="B119" s="20" t="inlineStr">
        <is>
          <t>Tirol Handel AG</t>
        </is>
      </c>
      <c r="C119" s="20" t="inlineStr">
        <is>
          <t>AT</t>
        </is>
      </c>
      <c r="D119" s="20" t="inlineStr">
        <is>
          <t>Trockensortiment</t>
        </is>
      </c>
      <c r="E119" s="14" t="n">
        <v>37512</v>
      </c>
      <c r="F119" s="13" t="n">
        <v>69397.2</v>
      </c>
      <c r="G119" s="12" t="n">
        <v>75.55</v>
      </c>
      <c r="H119" s="12" t="n">
        <v>52.1</v>
      </c>
      <c r="I119" s="12">
        <f>IF($H119&gt;0,$H119,IFERROR($G119/Import_Mapping!$B$7,0))</f>
        <v/>
      </c>
    </row>
    <row r="120">
      <c r="A120" s="11" t="n">
        <v>46102</v>
      </c>
      <c r="B120" s="20" t="inlineStr">
        <is>
          <t>Sachsen Handel GmbH</t>
        </is>
      </c>
      <c r="C120" s="20" t="inlineStr">
        <is>
          <t>DE-Ost</t>
        </is>
      </c>
      <c r="D120" s="20" t="inlineStr">
        <is>
          <t>Kuehlware</t>
        </is>
      </c>
      <c r="E120" s="14" t="n">
        <v>34560</v>
      </c>
      <c r="F120" s="13" t="n">
        <v>117504</v>
      </c>
      <c r="G120" s="12" t="n">
        <v>93.59999999999999</v>
      </c>
      <c r="H120" s="12" t="n">
        <v>72</v>
      </c>
      <c r="I120" s="12">
        <f>IF($H120&gt;0,$H120,IFERROR($G120/Import_Mapping!$B$7,0))</f>
        <v/>
      </c>
    </row>
    <row r="121">
      <c r="A121" s="11" t="n">
        <v>46103</v>
      </c>
      <c r="B121" s="20" t="inlineStr">
        <is>
          <t>Kuestenlager KG</t>
        </is>
      </c>
      <c r="C121" s="20" t="inlineStr">
        <is>
          <t>DE-Nord</t>
        </is>
      </c>
      <c r="D121" s="20" t="inlineStr">
        <is>
          <t>Getraenke</t>
        </is>
      </c>
      <c r="E121" s="14" t="n">
        <v>185664</v>
      </c>
      <c r="F121" s="13" t="n">
        <v>176380.8</v>
      </c>
      <c r="G121" s="12" t="n">
        <v>299.77</v>
      </c>
      <c r="H121" s="12" t="n">
        <v>193.4</v>
      </c>
      <c r="I121" s="12">
        <f>IF($H121&gt;0,$H121,IFERROR($G121/Import_Mapping!$B$7,0))</f>
        <v/>
      </c>
    </row>
    <row r="122">
      <c r="A122" s="11" t="n">
        <v>46104</v>
      </c>
      <c r="B122" s="20" t="inlineStr">
        <is>
          <t>Sachsen Handel GmbH</t>
        </is>
      </c>
      <c r="C122" s="20" t="inlineStr">
        <is>
          <t>DE-Ost</t>
        </is>
      </c>
      <c r="D122" s="20" t="inlineStr">
        <is>
          <t>Getraenke</t>
        </is>
      </c>
      <c r="E122" s="14" t="n">
        <v>146400</v>
      </c>
      <c r="F122" s="13" t="n">
        <v>139080</v>
      </c>
      <c r="G122" s="12" t="n">
        <v>236.38</v>
      </c>
      <c r="H122" s="12" t="n">
        <v>152.5</v>
      </c>
      <c r="I122" s="12">
        <f>IF($H122&gt;0,$H122,IFERROR($G122/Import_Mapping!$B$7,0))</f>
        <v/>
      </c>
    </row>
    <row r="123">
      <c r="A123" s="11" t="n">
        <v>46104</v>
      </c>
      <c r="B123" s="20" t="inlineStr">
        <is>
          <t>Wisla Retail Sp.</t>
        </is>
      </c>
      <c r="C123" s="20" t="inlineStr">
        <is>
          <t>PL</t>
        </is>
      </c>
      <c r="D123" s="20" t="inlineStr">
        <is>
          <t>Trockensortiment</t>
        </is>
      </c>
      <c r="E123" s="14" t="n">
        <v>30096</v>
      </c>
      <c r="F123" s="13" t="n">
        <v>55677.6</v>
      </c>
      <c r="G123" s="12" t="n">
        <v>60.61</v>
      </c>
      <c r="H123" s="12" t="n">
        <v>41.8</v>
      </c>
      <c r="I123" s="12">
        <f>IF($H123&gt;0,$H123,IFERROR($G123/Import_Mapping!$B$7,0))</f>
        <v/>
      </c>
    </row>
    <row r="124">
      <c r="A124" s="11" t="n">
        <v>46105</v>
      </c>
      <c r="B124" s="20" t="inlineStr">
        <is>
          <t>Hessen Vertrieb GmbH</t>
        </is>
      </c>
      <c r="C124" s="20" t="inlineStr">
        <is>
          <t>DE-Mitte</t>
        </is>
      </c>
      <c r="D124" s="20" t="inlineStr">
        <is>
          <t>Non-Food</t>
        </is>
      </c>
      <c r="E124" s="14" t="n">
        <v>10032</v>
      </c>
      <c r="F124" s="13" t="n">
        <v>125400</v>
      </c>
      <c r="G124" s="12" t="n">
        <v>66.88</v>
      </c>
      <c r="H124" s="12" t="n">
        <v>41.8</v>
      </c>
      <c r="I124" s="12">
        <f>IF($H124&gt;0,$H124,IFERROR($G124/Import_Mapping!$B$7,0))</f>
        <v/>
      </c>
    </row>
    <row r="125">
      <c r="A125" s="11" t="n">
        <v>46113</v>
      </c>
      <c r="B125" s="20" t="inlineStr">
        <is>
          <t>Mainpunkt Handel</t>
        </is>
      </c>
      <c r="C125" s="20" t="inlineStr">
        <is>
          <t>DE-Mitte</t>
        </is>
      </c>
      <c r="D125" s="20" t="inlineStr">
        <is>
          <t>Kuehlware</t>
        </is>
      </c>
      <c r="E125" s="14" t="n">
        <v>34560</v>
      </c>
      <c r="F125" s="13" t="n">
        <v>117504</v>
      </c>
      <c r="G125" s="12" t="n">
        <v>93.59999999999999</v>
      </c>
      <c r="H125" s="12" t="n">
        <v>72</v>
      </c>
      <c r="I125" s="12">
        <f>IF($H125&gt;0,$H125,IFERROR($G125/Import_Mapping!$B$7,0))</f>
        <v/>
      </c>
    </row>
    <row r="126">
      <c r="A126" s="11" t="n">
        <v>46113</v>
      </c>
      <c r="B126" s="20" t="inlineStr">
        <is>
          <t>Delta Foods BV</t>
        </is>
      </c>
      <c r="C126" s="20" t="inlineStr">
        <is>
          <t>NL</t>
        </is>
      </c>
      <c r="D126" s="20" t="inlineStr">
        <is>
          <t>Kuehlware</t>
        </is>
      </c>
      <c r="E126" s="14" t="n">
        <v>25248</v>
      </c>
      <c r="F126" s="13" t="n">
        <v>85843.2</v>
      </c>
      <c r="G126" s="12" t="n">
        <v>68.38</v>
      </c>
      <c r="H126" s="12" t="n">
        <v>52.6</v>
      </c>
      <c r="I126" s="12">
        <f>IF($H126&gt;0,$H126,IFERROR($G126/Import_Mapping!$B$7,0))</f>
        <v/>
      </c>
    </row>
    <row r="127">
      <c r="A127" s="11" t="n">
        <v>46115</v>
      </c>
      <c r="B127" s="20" t="inlineStr">
        <is>
          <t>Nordmarkt AG</t>
        </is>
      </c>
      <c r="C127" s="20" t="inlineStr">
        <is>
          <t>DE-Nord</t>
        </is>
      </c>
      <c r="D127" s="20" t="inlineStr">
        <is>
          <t>Trockensortiment</t>
        </is>
      </c>
      <c r="E127" s="14" t="n">
        <v>131112</v>
      </c>
      <c r="F127" s="13" t="n">
        <v>242557.2</v>
      </c>
      <c r="G127" s="12" t="n">
        <v>264.04</v>
      </c>
      <c r="H127" s="12" t="n">
        <v>182.1</v>
      </c>
      <c r="I127" s="12">
        <f>IF($H127&gt;0,$H127,IFERROR($G127/Import_Mapping!$B$7,0))</f>
        <v/>
      </c>
    </row>
    <row r="128">
      <c r="A128" s="11" t="n">
        <v>46115</v>
      </c>
      <c r="B128" s="20" t="inlineStr">
        <is>
          <t>Spree Markt AG</t>
        </is>
      </c>
      <c r="C128" s="20" t="inlineStr">
        <is>
          <t>DE-Ost</t>
        </is>
      </c>
      <c r="D128" s="20" t="inlineStr">
        <is>
          <t>Trockensortiment</t>
        </is>
      </c>
      <c r="E128" s="14" t="n">
        <v>75168</v>
      </c>
      <c r="F128" s="13" t="n">
        <v>139060.8</v>
      </c>
      <c r="G128" s="12" t="n">
        <v>151.38</v>
      </c>
      <c r="H128" s="12" t="n">
        <v>104.4</v>
      </c>
      <c r="I128" s="12">
        <f>IF($H128&gt;0,$H128,IFERROR($G128/Import_Mapping!$B$7,0))</f>
        <v/>
      </c>
    </row>
    <row r="129">
      <c r="A129" s="11" t="n">
        <v>46115</v>
      </c>
      <c r="B129" s="20" t="inlineStr">
        <is>
          <t>Odra Handel Sp.</t>
        </is>
      </c>
      <c r="C129" s="20" t="inlineStr">
        <is>
          <t>PL</t>
        </is>
      </c>
      <c r="D129" s="20" t="inlineStr">
        <is>
          <t>Non-Food</t>
        </is>
      </c>
      <c r="E129" s="14" t="n">
        <v>12552</v>
      </c>
      <c r="F129" s="13" t="n">
        <v>156900</v>
      </c>
      <c r="G129" s="12" t="n">
        <v>83.68000000000001</v>
      </c>
      <c r="H129" s="12" t="n">
        <v>52.3</v>
      </c>
      <c r="I129" s="12">
        <f>IF($H129&gt;0,$H129,IFERROR($G129/Import_Mapping!$B$7,0))</f>
        <v/>
      </c>
    </row>
    <row r="130">
      <c r="A130" s="11" t="n">
        <v>46116</v>
      </c>
      <c r="B130" s="20" t="inlineStr">
        <is>
          <t>Westfilial AG</t>
        </is>
      </c>
      <c r="C130" s="20" t="inlineStr">
        <is>
          <t>DE-West</t>
        </is>
      </c>
      <c r="D130" s="20" t="inlineStr">
        <is>
          <t>Aktionsware</t>
        </is>
      </c>
      <c r="E130" s="14" t="n">
        <v>10908</v>
      </c>
      <c r="F130" s="13" t="n">
        <v>67629.60000000001</v>
      </c>
      <c r="G130" s="12" t="n">
        <v>45.45</v>
      </c>
      <c r="H130" s="12" t="n">
        <v>30.3</v>
      </c>
      <c r="I130" s="12">
        <f>IF($H130&gt;0,$H130,IFERROR($G130/Import_Mapping!$B$7,0))</f>
        <v/>
      </c>
    </row>
    <row r="131">
      <c r="A131" s="11" t="n">
        <v>46117</v>
      </c>
      <c r="B131" s="20" t="inlineStr">
        <is>
          <t>Tirol Handel AG</t>
        </is>
      </c>
      <c r="C131" s="20" t="inlineStr">
        <is>
          <t>AT</t>
        </is>
      </c>
      <c r="D131" s="20" t="inlineStr">
        <is>
          <t>Non-Food</t>
        </is>
      </c>
      <c r="E131" s="14" t="n">
        <v>5112</v>
      </c>
      <c r="F131" s="13" t="n">
        <v>63900</v>
      </c>
      <c r="G131" s="12" t="n">
        <v>34.08</v>
      </c>
      <c r="H131" s="12" t="n">
        <v>21.3</v>
      </c>
      <c r="I131" s="12">
        <f>IF($H131&gt;0,$H131,IFERROR($G131/Import_Mapping!$B$7,0))</f>
        <v/>
      </c>
    </row>
    <row r="132">
      <c r="A132" s="11" t="n">
        <v>46117</v>
      </c>
      <c r="B132" s="20" t="inlineStr">
        <is>
          <t>Ruhr Frische GmbH</t>
        </is>
      </c>
      <c r="C132" s="20" t="inlineStr">
        <is>
          <t>DE-West</t>
        </is>
      </c>
      <c r="D132" s="20" t="inlineStr">
        <is>
          <t>Kuehlware</t>
        </is>
      </c>
      <c r="E132" s="14" t="n">
        <v>69216</v>
      </c>
      <c r="F132" s="13" t="n">
        <v>235334.4</v>
      </c>
      <c r="G132" s="12" t="n">
        <v>187.46</v>
      </c>
      <c r="H132" s="12" t="n">
        <v>144.2</v>
      </c>
      <c r="I132" s="12">
        <f>IF($H132&gt;0,$H132,IFERROR($G132/Import_Mapping!$B$7,0))</f>
        <v/>
      </c>
    </row>
    <row r="133">
      <c r="A133" s="11" t="n">
        <v>46117</v>
      </c>
      <c r="B133" s="20" t="inlineStr">
        <is>
          <t>Delta Foods BV</t>
        </is>
      </c>
      <c r="C133" s="20" t="inlineStr">
        <is>
          <t>NL</t>
        </is>
      </c>
      <c r="D133" s="20" t="inlineStr">
        <is>
          <t>Non-Food</t>
        </is>
      </c>
      <c r="E133" s="14" t="n">
        <v>6960</v>
      </c>
      <c r="F133" s="13" t="n">
        <v>87000</v>
      </c>
      <c r="G133" s="12" t="n">
        <v>46.4</v>
      </c>
      <c r="H133" s="12" t="n">
        <v>29</v>
      </c>
      <c r="I133" s="12">
        <f>IF($H133&gt;0,$H133,IFERROR($G133/Import_Mapping!$B$7,0))</f>
        <v/>
      </c>
    </row>
    <row r="134">
      <c r="A134" s="11" t="n">
        <v>46118</v>
      </c>
      <c r="B134" s="20" t="inlineStr">
        <is>
          <t>Elbe Handel GmbH</t>
        </is>
      </c>
      <c r="C134" s="20" t="inlineStr">
        <is>
          <t>DE-Nord</t>
        </is>
      </c>
      <c r="D134" s="20" t="inlineStr">
        <is>
          <t>Kuehlware</t>
        </is>
      </c>
      <c r="E134" s="14" t="n">
        <v>64896</v>
      </c>
      <c r="F134" s="13" t="n">
        <v>220646.4</v>
      </c>
      <c r="G134" s="12" t="n">
        <v>175.76</v>
      </c>
      <c r="H134" s="12" t="n">
        <v>135.2</v>
      </c>
      <c r="I134" s="12">
        <f>IF($H134&gt;0,$H134,IFERROR($G134/Import_Mapping!$B$7,0))</f>
        <v/>
      </c>
    </row>
    <row r="135">
      <c r="A135" s="11" t="n">
        <v>46118</v>
      </c>
      <c r="B135" s="20" t="inlineStr">
        <is>
          <t>Spree Markt AG</t>
        </is>
      </c>
      <c r="C135" s="20" t="inlineStr">
        <is>
          <t>DE-Ost</t>
        </is>
      </c>
      <c r="D135" s="20" t="inlineStr">
        <is>
          <t>Getraenke</t>
        </is>
      </c>
      <c r="E135" s="14" t="n">
        <v>164640</v>
      </c>
      <c r="F135" s="13" t="n">
        <v>156408</v>
      </c>
      <c r="G135" s="12" t="n">
        <v>265.82</v>
      </c>
      <c r="H135" s="12" t="n">
        <v>171.5</v>
      </c>
      <c r="I135" s="12">
        <f>IF($H135&gt;0,$H135,IFERROR($G135/Import_Mapping!$B$7,0))</f>
        <v/>
      </c>
    </row>
    <row r="136">
      <c r="A136" s="11" t="n">
        <v>46119</v>
      </c>
      <c r="B136" s="20" t="inlineStr">
        <is>
          <t>Sachsen Handel GmbH</t>
        </is>
      </c>
      <c r="C136" s="20" t="inlineStr">
        <is>
          <t>DE-Ost</t>
        </is>
      </c>
      <c r="D136" s="20" t="inlineStr">
        <is>
          <t>Aktionsware</t>
        </is>
      </c>
      <c r="E136" s="14" t="n">
        <v>6624</v>
      </c>
      <c r="F136" s="13" t="n">
        <v>41068.8</v>
      </c>
      <c r="G136" s="12" t="n">
        <v>27.6</v>
      </c>
      <c r="H136" s="12" t="n">
        <v>18.4</v>
      </c>
      <c r="I136" s="12">
        <f>IF($H136&gt;0,$H136,IFERROR($G136/Import_Mapping!$B$7,0))</f>
        <v/>
      </c>
    </row>
    <row r="137">
      <c r="A137" s="11" t="n">
        <v>46119</v>
      </c>
      <c r="B137" s="20" t="inlineStr">
        <is>
          <t>Odra Handel Sp.</t>
        </is>
      </c>
      <c r="C137" s="20" t="inlineStr">
        <is>
          <t>PL</t>
        </is>
      </c>
      <c r="D137" s="20" t="inlineStr">
        <is>
          <t>Kuehlware</t>
        </is>
      </c>
      <c r="E137" s="14" t="n">
        <v>9408</v>
      </c>
      <c r="F137" s="13" t="n">
        <v>31987.2</v>
      </c>
      <c r="G137" s="12" t="n">
        <v>25.48</v>
      </c>
      <c r="H137" s="12" t="n">
        <v>19.6</v>
      </c>
      <c r="I137" s="12">
        <f>IF($H137&gt;0,$H137,IFERROR($G137/Import_Mapping!$B$7,0))</f>
        <v/>
      </c>
    </row>
    <row r="138">
      <c r="A138" s="11" t="n">
        <v>46120</v>
      </c>
      <c r="B138" s="20" t="inlineStr">
        <is>
          <t>Austria Markt GmbH</t>
        </is>
      </c>
      <c r="C138" s="20" t="inlineStr">
        <is>
          <t>AT</t>
        </is>
      </c>
      <c r="D138" s="20" t="inlineStr">
        <is>
          <t>Kuehlware</t>
        </is>
      </c>
      <c r="E138" s="14" t="n">
        <v>14880</v>
      </c>
      <c r="F138" s="13" t="n">
        <v>50592</v>
      </c>
      <c r="G138" s="12" t="n">
        <v>40.3</v>
      </c>
      <c r="H138" s="12" t="n">
        <v>31</v>
      </c>
      <c r="I138" s="12">
        <f>IF($H138&gt;0,$H138,IFERROR($G138/Import_Mapping!$B$7,0))</f>
        <v/>
      </c>
    </row>
    <row r="139">
      <c r="A139" s="11" t="n">
        <v>46120</v>
      </c>
      <c r="B139" s="20" t="inlineStr">
        <is>
          <t>Odra Handel Sp.</t>
        </is>
      </c>
      <c r="C139" s="20" t="inlineStr">
        <is>
          <t>PL</t>
        </is>
      </c>
      <c r="D139" s="20" t="inlineStr">
        <is>
          <t>Aktionsware</t>
        </is>
      </c>
      <c r="E139" s="14" t="n">
        <v>14040</v>
      </c>
      <c r="F139" s="13" t="n">
        <v>87048</v>
      </c>
      <c r="G139" s="12" t="n">
        <v>58.5</v>
      </c>
      <c r="H139" s="12" t="n">
        <v>39</v>
      </c>
      <c r="I139" s="12">
        <f>IF($H139&gt;0,$H139,IFERROR($G139/Import_Mapping!$B$7,0))</f>
        <v/>
      </c>
    </row>
    <row r="140">
      <c r="A140" s="11" t="n">
        <v>46121</v>
      </c>
      <c r="B140" s="20" t="inlineStr">
        <is>
          <t>Alpenmarkt GmbH</t>
        </is>
      </c>
      <c r="C140" s="20" t="inlineStr">
        <is>
          <t>DE-Sued</t>
        </is>
      </c>
      <c r="D140" s="20" t="inlineStr">
        <is>
          <t>Kuehlware</t>
        </is>
      </c>
      <c r="E140" s="14" t="n">
        <v>46992</v>
      </c>
      <c r="F140" s="13" t="n">
        <v>159772.8</v>
      </c>
      <c r="G140" s="12" t="n">
        <v>127.27</v>
      </c>
      <c r="H140" s="12" t="n">
        <v>97.90000000000001</v>
      </c>
      <c r="I140" s="12">
        <f>IF($H140&gt;0,$H140,IFERROR($G140/Import_Mapping!$B$7,0))</f>
        <v/>
      </c>
    </row>
    <row r="141">
      <c r="A141" s="11" t="n">
        <v>46123</v>
      </c>
      <c r="B141" s="20" t="inlineStr">
        <is>
          <t>Delta Foods BV</t>
        </is>
      </c>
      <c r="C141" s="20" t="inlineStr">
        <is>
          <t>NL</t>
        </is>
      </c>
      <c r="D141" s="20" t="inlineStr">
        <is>
          <t>Trockensortiment</t>
        </is>
      </c>
      <c r="E141" s="14" t="n">
        <v>55368</v>
      </c>
      <c r="F141" s="13" t="n">
        <v>102430.8</v>
      </c>
      <c r="G141" s="12" t="n">
        <v>111.51</v>
      </c>
      <c r="H141" s="12" t="n">
        <v>76.90000000000001</v>
      </c>
      <c r="I141" s="12">
        <f>IF($H141&gt;0,$H141,IFERROR($G141/Import_Mapping!$B$7,0))</f>
        <v/>
      </c>
    </row>
    <row r="142">
      <c r="A142" s="11" t="n">
        <v>46124</v>
      </c>
      <c r="B142" s="20" t="inlineStr">
        <is>
          <t>Tirol Handel AG</t>
        </is>
      </c>
      <c r="C142" s="20" t="inlineStr">
        <is>
          <t>AT</t>
        </is>
      </c>
      <c r="D142" s="20" t="inlineStr">
        <is>
          <t>Getraenke</t>
        </is>
      </c>
      <c r="E142" s="14" t="n">
        <v>76704</v>
      </c>
      <c r="F142" s="13" t="n">
        <v>72868.8</v>
      </c>
      <c r="G142" s="12" t="n">
        <v>123.85</v>
      </c>
      <c r="H142" s="12" t="n">
        <v>79.90000000000001</v>
      </c>
      <c r="I142" s="12">
        <f>IF($H142&gt;0,$H142,IFERROR($G142/Import_Mapping!$B$7,0))</f>
        <v/>
      </c>
    </row>
    <row r="143">
      <c r="A143" s="11" t="n">
        <v>46125</v>
      </c>
      <c r="B143" s="20" t="inlineStr">
        <is>
          <t>Spree Markt AG</t>
        </is>
      </c>
      <c r="C143" s="20" t="inlineStr">
        <is>
          <t>DE-Ost</t>
        </is>
      </c>
      <c r="D143" s="20" t="inlineStr">
        <is>
          <t>Non-Food</t>
        </is>
      </c>
      <c r="E143" s="14" t="n">
        <v>6744</v>
      </c>
      <c r="F143" s="13" t="n">
        <v>84300</v>
      </c>
      <c r="G143" s="12" t="n">
        <v>44.96</v>
      </c>
      <c r="H143" s="12" t="n">
        <v>28.1</v>
      </c>
      <c r="I143" s="12">
        <f>IF($H143&gt;0,$H143,IFERROR($G143/Import_Mapping!$B$7,0))</f>
        <v/>
      </c>
    </row>
    <row r="144">
      <c r="A144" s="11" t="n">
        <v>46125</v>
      </c>
      <c r="B144" s="20" t="inlineStr">
        <is>
          <t>Donau Handel AG</t>
        </is>
      </c>
      <c r="C144" s="20" t="inlineStr">
        <is>
          <t>DE-Sued</t>
        </is>
      </c>
      <c r="D144" s="20" t="inlineStr">
        <is>
          <t>Aktionsware</t>
        </is>
      </c>
      <c r="E144" s="14" t="n">
        <v>9720</v>
      </c>
      <c r="F144" s="13" t="n">
        <v>60264</v>
      </c>
      <c r="G144" s="12" t="n">
        <v>40.5</v>
      </c>
      <c r="H144" s="12" t="n">
        <v>27</v>
      </c>
      <c r="I144" s="12">
        <f>IF($H144&gt;0,$H144,IFERROR($G144/Import_Mapping!$B$7,0))</f>
        <v/>
      </c>
    </row>
    <row r="145">
      <c r="A145" s="11" t="n">
        <v>46127</v>
      </c>
      <c r="B145" s="20" t="inlineStr">
        <is>
          <t>Mainpunkt Handel</t>
        </is>
      </c>
      <c r="C145" s="20" t="inlineStr">
        <is>
          <t>DE-Mitte</t>
        </is>
      </c>
      <c r="D145" s="20" t="inlineStr">
        <is>
          <t>Trockensortiment</t>
        </is>
      </c>
      <c r="E145" s="14" t="n">
        <v>97056</v>
      </c>
      <c r="F145" s="13" t="n">
        <v>179553.6</v>
      </c>
      <c r="G145" s="12" t="n">
        <v>195.46</v>
      </c>
      <c r="H145" s="12" t="n">
        <v>134.8</v>
      </c>
      <c r="I145" s="12">
        <f>IF($H145&gt;0,$H145,IFERROR($G145/Import_Mapping!$B$7,0))</f>
        <v/>
      </c>
    </row>
    <row r="146">
      <c r="A146" s="11" t="n">
        <v>46128</v>
      </c>
      <c r="B146" s="20" t="inlineStr">
        <is>
          <t>Mainpunkt Handel</t>
        </is>
      </c>
      <c r="C146" s="20" t="inlineStr">
        <is>
          <t>DE-Mitte</t>
        </is>
      </c>
      <c r="D146" s="20" t="inlineStr">
        <is>
          <t>Getraenke</t>
        </is>
      </c>
      <c r="E146" s="14" t="n">
        <v>168672</v>
      </c>
      <c r="F146" s="13" t="n">
        <v>160238.4</v>
      </c>
      <c r="G146" s="12" t="n">
        <v>272.33</v>
      </c>
      <c r="H146" s="12" t="n">
        <v>175.7</v>
      </c>
      <c r="I146" s="12">
        <f>IF($H146&gt;0,$H146,IFERROR($G146/Import_Mapping!$B$7,0))</f>
        <v/>
      </c>
    </row>
    <row r="147">
      <c r="A147" s="11" t="n">
        <v>46128</v>
      </c>
      <c r="B147" s="20" t="inlineStr">
        <is>
          <t>Mainpunkt Handel</t>
        </is>
      </c>
      <c r="C147" s="20" t="inlineStr">
        <is>
          <t>DE-Mitte</t>
        </is>
      </c>
      <c r="D147" s="20" t="inlineStr">
        <is>
          <t>Non-Food</t>
        </is>
      </c>
      <c r="E147" s="14" t="n">
        <v>10368</v>
      </c>
      <c r="F147" s="13" t="n">
        <v>129600</v>
      </c>
      <c r="G147" s="12" t="n">
        <v>69.12</v>
      </c>
      <c r="H147" s="12" t="n">
        <v>43.2</v>
      </c>
      <c r="I147" s="12">
        <f>IF($H147&gt;0,$H147,IFERROR($G147/Import_Mapping!$B$7,0))</f>
        <v/>
      </c>
    </row>
    <row r="148">
      <c r="A148" s="11" t="n">
        <v>46128</v>
      </c>
      <c r="B148" s="20" t="inlineStr">
        <is>
          <t>Randstad Retail BV</t>
        </is>
      </c>
      <c r="C148" s="20" t="inlineStr">
        <is>
          <t>NL</t>
        </is>
      </c>
      <c r="D148" s="20" t="inlineStr">
        <is>
          <t>Getraenke</t>
        </is>
      </c>
      <c r="E148" s="14" t="n">
        <v>59616</v>
      </c>
      <c r="F148" s="13" t="n">
        <v>56635.2</v>
      </c>
      <c r="G148" s="12" t="n">
        <v>96.26000000000001</v>
      </c>
      <c r="H148" s="12" t="n">
        <v>62.1</v>
      </c>
      <c r="I148" s="12">
        <f>IF($H148&gt;0,$H148,IFERROR($G148/Import_Mapping!$B$7,0))</f>
        <v/>
      </c>
    </row>
    <row r="149">
      <c r="A149" s="11" t="n">
        <v>46129</v>
      </c>
      <c r="B149" s="20" t="inlineStr">
        <is>
          <t>Nordmarkt AG</t>
        </is>
      </c>
      <c r="C149" s="20" t="inlineStr">
        <is>
          <t>DE-Nord</t>
        </is>
      </c>
      <c r="D149" s="20" t="inlineStr">
        <is>
          <t>Non-Food</t>
        </is>
      </c>
      <c r="E149" s="14" t="n">
        <v>11208</v>
      </c>
      <c r="F149" s="13" t="n">
        <v>140100</v>
      </c>
      <c r="G149" s="12" t="n">
        <v>74.72</v>
      </c>
      <c r="H149" s="12" t="n">
        <v>46.7</v>
      </c>
      <c r="I149" s="12">
        <f>IF($H149&gt;0,$H149,IFERROR($G149/Import_Mapping!$B$7,0))</f>
        <v/>
      </c>
    </row>
    <row r="150">
      <c r="A150" s="11" t="n">
        <v>46130</v>
      </c>
      <c r="B150" s="20" t="inlineStr">
        <is>
          <t>Austria Markt GmbH</t>
        </is>
      </c>
      <c r="C150" s="20" t="inlineStr">
        <is>
          <t>AT</t>
        </is>
      </c>
      <c r="D150" s="20" t="inlineStr">
        <is>
          <t>Aktionsware</t>
        </is>
      </c>
      <c r="E150" s="14" t="n">
        <v>3024</v>
      </c>
      <c r="F150" s="13" t="n">
        <v>18748.8</v>
      </c>
      <c r="G150" s="12" t="n">
        <v>12.6</v>
      </c>
      <c r="H150" s="12" t="n">
        <v>8.4</v>
      </c>
      <c r="I150" s="12">
        <f>IF($H150&gt;0,$H150,IFERROR($G150/Import_Mapping!$B$7,0))</f>
        <v/>
      </c>
    </row>
    <row r="151">
      <c r="A151" s="11" t="n">
        <v>46131</v>
      </c>
      <c r="B151" s="20" t="inlineStr">
        <is>
          <t>Sued Filialen KG</t>
        </is>
      </c>
      <c r="C151" s="20" t="inlineStr">
        <is>
          <t>DE-Sued</t>
        </is>
      </c>
      <c r="D151" s="20" t="inlineStr">
        <is>
          <t>Getraenke</t>
        </is>
      </c>
      <c r="E151" s="14" t="n">
        <v>296448</v>
      </c>
      <c r="F151" s="13" t="n">
        <v>281625.6</v>
      </c>
      <c r="G151" s="12" t="n">
        <v>478.64</v>
      </c>
      <c r="H151" s="12" t="n">
        <v>308.8</v>
      </c>
      <c r="I151" s="12">
        <f>IF($H151&gt;0,$H151,IFERROR($G151/Import_Mapping!$B$7,0))</f>
        <v/>
      </c>
    </row>
    <row r="152">
      <c r="A152" s="11" t="n">
        <v>46133</v>
      </c>
      <c r="B152" s="20" t="inlineStr">
        <is>
          <t>Tirol Handel AG</t>
        </is>
      </c>
      <c r="C152" s="20" t="inlineStr">
        <is>
          <t>AT</t>
        </is>
      </c>
      <c r="D152" s="20" t="inlineStr">
        <is>
          <t>Trockensortiment</t>
        </is>
      </c>
      <c r="E152" s="14" t="n">
        <v>38592</v>
      </c>
      <c r="F152" s="13" t="n">
        <v>71395.2</v>
      </c>
      <c r="G152" s="12" t="n">
        <v>77.72</v>
      </c>
      <c r="H152" s="12" t="n">
        <v>53.6</v>
      </c>
      <c r="I152" s="12">
        <f>IF($H152&gt;0,$H152,IFERROR($G152/Import_Mapping!$B$7,0))</f>
        <v/>
      </c>
    </row>
    <row r="153">
      <c r="A153" s="11" t="n">
        <v>46133</v>
      </c>
      <c r="B153" s="20" t="inlineStr">
        <is>
          <t>Hessen Vertrieb GmbH</t>
        </is>
      </c>
      <c r="C153" s="20" t="inlineStr">
        <is>
          <t>DE-Mitte</t>
        </is>
      </c>
      <c r="D153" s="20" t="inlineStr">
        <is>
          <t>Aktionsware</t>
        </is>
      </c>
      <c r="E153" s="14" t="n">
        <v>7128</v>
      </c>
      <c r="F153" s="13" t="n">
        <v>44193.6</v>
      </c>
      <c r="G153" s="12" t="n">
        <v>29.7</v>
      </c>
      <c r="H153" s="12" t="n">
        <v>19.8</v>
      </c>
      <c r="I153" s="12">
        <f>IF($H153&gt;0,$H153,IFERROR($G153/Import_Mapping!$B$7,0))</f>
        <v/>
      </c>
    </row>
    <row r="154">
      <c r="A154" s="11" t="n">
        <v>46133</v>
      </c>
      <c r="B154" s="20" t="inlineStr">
        <is>
          <t>Rheinland Retail SE</t>
        </is>
      </c>
      <c r="C154" s="20" t="inlineStr">
        <is>
          <t>DE-West</t>
        </is>
      </c>
      <c r="D154" s="20" t="inlineStr">
        <is>
          <t>Non-Food</t>
        </is>
      </c>
      <c r="E154" s="14" t="n">
        <v>15720</v>
      </c>
      <c r="F154" s="13" t="n">
        <v>196500</v>
      </c>
      <c r="G154" s="12" t="n">
        <v>104.8</v>
      </c>
      <c r="H154" s="12" t="n">
        <v>65.5</v>
      </c>
      <c r="I154" s="12">
        <f>IF($H154&gt;0,$H154,IFERROR($G154/Import_Mapping!$B$7,0))</f>
        <v/>
      </c>
    </row>
    <row r="155">
      <c r="A155" s="11" t="n">
        <v>46134</v>
      </c>
      <c r="B155" s="20" t="inlineStr">
        <is>
          <t>Spree Markt AG</t>
        </is>
      </c>
      <c r="C155" s="20" t="inlineStr">
        <is>
          <t>DE-Ost</t>
        </is>
      </c>
      <c r="D155" s="20" t="inlineStr">
        <is>
          <t>Kuehlware</t>
        </is>
      </c>
      <c r="E155" s="14" t="n">
        <v>34080</v>
      </c>
      <c r="F155" s="13" t="n">
        <v>115872</v>
      </c>
      <c r="G155" s="12" t="n">
        <v>92.3</v>
      </c>
      <c r="H155" s="12" t="n">
        <v>71</v>
      </c>
      <c r="I155" s="12">
        <f>IF($H155&gt;0,$H155,IFERROR($G155/Import_Mapping!$B$7,0))</f>
        <v/>
      </c>
    </row>
    <row r="156">
      <c r="A156" s="11" t="n">
        <v>46134</v>
      </c>
      <c r="B156" s="20" t="inlineStr">
        <is>
          <t>Alpenmarkt GmbH</t>
        </is>
      </c>
      <c r="C156" s="20" t="inlineStr">
        <is>
          <t>DE-Sued</t>
        </is>
      </c>
      <c r="D156" s="20" t="inlineStr">
        <is>
          <t>Non-Food</t>
        </is>
      </c>
      <c r="E156" s="14" t="n">
        <v>14448</v>
      </c>
      <c r="F156" s="13" t="n">
        <v>180600</v>
      </c>
      <c r="G156" s="12" t="n">
        <v>96.31999999999999</v>
      </c>
      <c r="H156" s="12" t="n">
        <v>60.2</v>
      </c>
      <c r="I156" s="12">
        <f>IF($H156&gt;0,$H156,IFERROR($G156/Import_Mapping!$B$7,0))</f>
        <v/>
      </c>
    </row>
    <row r="157">
      <c r="A157" s="11" t="n">
        <v>46134</v>
      </c>
      <c r="B157" s="20" t="inlineStr">
        <is>
          <t>Westfilial AG</t>
        </is>
      </c>
      <c r="C157" s="20" t="inlineStr">
        <is>
          <t>DE-West</t>
        </is>
      </c>
      <c r="D157" s="20" t="inlineStr">
        <is>
          <t>Getraenke</t>
        </is>
      </c>
      <c r="E157" s="14" t="n">
        <v>264480</v>
      </c>
      <c r="F157" s="13" t="n">
        <v>251256</v>
      </c>
      <c r="G157" s="12" t="n">
        <v>427.03</v>
      </c>
      <c r="H157" s="12" t="n">
        <v>275.5</v>
      </c>
      <c r="I157" s="12">
        <f>IF($H157&gt;0,$H157,IFERROR($G157/Import_Mapping!$B$7,0))</f>
        <v/>
      </c>
    </row>
    <row r="158">
      <c r="A158" s="11" t="n">
        <v>46136</v>
      </c>
      <c r="B158" s="20" t="inlineStr">
        <is>
          <t>Randstad Retail BV</t>
        </is>
      </c>
      <c r="C158" s="20" t="inlineStr">
        <is>
          <t>NL</t>
        </is>
      </c>
      <c r="D158" s="20" t="inlineStr">
        <is>
          <t>Aktionsware</t>
        </is>
      </c>
      <c r="E158" s="14" t="n">
        <v>4176</v>
      </c>
      <c r="F158" s="13" t="n">
        <v>25891.2</v>
      </c>
      <c r="G158" s="12" t="n">
        <v>17.4</v>
      </c>
      <c r="H158" s="12" t="n">
        <v>11.6</v>
      </c>
      <c r="I158" s="12">
        <f>IF($H158&gt;0,$H158,IFERROR($G158/Import_Mapping!$B$7,0))</f>
        <v/>
      </c>
    </row>
    <row r="159">
      <c r="A159" s="11" t="n">
        <v>46137</v>
      </c>
      <c r="B159" s="20" t="inlineStr">
        <is>
          <t>Nordmarkt AG</t>
        </is>
      </c>
      <c r="C159" s="20" t="inlineStr">
        <is>
          <t>DE-Nord</t>
        </is>
      </c>
      <c r="D159" s="20" t="inlineStr">
        <is>
          <t>Aktionsware</t>
        </is>
      </c>
      <c r="E159" s="14" t="n">
        <v>7236</v>
      </c>
      <c r="F159" s="13" t="n">
        <v>44863.2</v>
      </c>
      <c r="G159" s="12" t="n">
        <v>30.15</v>
      </c>
      <c r="H159" s="12" t="n">
        <v>20.1</v>
      </c>
      <c r="I159" s="12">
        <f>IF($H159&gt;0,$H159,IFERROR($G159/Import_Mapping!$B$7,0))</f>
        <v/>
      </c>
    </row>
    <row r="160">
      <c r="A160" s="11" t="n">
        <v>46137</v>
      </c>
      <c r="B160" s="20" t="inlineStr">
        <is>
          <t>Elbe Handel GmbH</t>
        </is>
      </c>
      <c r="C160" s="20" t="inlineStr">
        <is>
          <t>DE-Nord</t>
        </is>
      </c>
      <c r="D160" s="20" t="inlineStr">
        <is>
          <t>Getraenke</t>
        </is>
      </c>
      <c r="E160" s="14" t="n">
        <v>186048</v>
      </c>
      <c r="F160" s="13" t="n">
        <v>176745.6</v>
      </c>
      <c r="G160" s="12" t="n">
        <v>300.39</v>
      </c>
      <c r="H160" s="12" t="n">
        <v>193.8</v>
      </c>
      <c r="I160" s="12">
        <f>IF($H160&gt;0,$H160,IFERROR($G160/Import_Mapping!$B$7,0))</f>
        <v/>
      </c>
    </row>
    <row r="161">
      <c r="A161" s="11" t="n">
        <v>46137</v>
      </c>
      <c r="B161" s="20" t="inlineStr">
        <is>
          <t>Sued Filialen KG</t>
        </is>
      </c>
      <c r="C161" s="20" t="inlineStr">
        <is>
          <t>DE-Sued</t>
        </is>
      </c>
      <c r="D161" s="20" t="inlineStr">
        <is>
          <t>Trockensortiment</t>
        </is>
      </c>
      <c r="E161" s="14" t="n">
        <v>153648</v>
      </c>
      <c r="F161" s="13" t="n">
        <v>284248.8</v>
      </c>
      <c r="G161" s="12" t="n">
        <v>309.43</v>
      </c>
      <c r="H161" s="12" t="n">
        <v>213.4</v>
      </c>
      <c r="I161" s="12">
        <f>IF($H161&gt;0,$H161,IFERROR($G161/Import_Mapping!$B$7,0))</f>
        <v/>
      </c>
    </row>
    <row r="162">
      <c r="A162" s="11" t="n">
        <v>46137</v>
      </c>
      <c r="B162" s="20" t="inlineStr">
        <is>
          <t>Rheinland Retail SE</t>
        </is>
      </c>
      <c r="C162" s="20" t="inlineStr">
        <is>
          <t>DE-West</t>
        </is>
      </c>
      <c r="D162" s="20" t="inlineStr">
        <is>
          <t>Trockensortiment</t>
        </is>
      </c>
      <c r="E162" s="14" t="n">
        <v>195552</v>
      </c>
      <c r="F162" s="13" t="n">
        <v>361771.2</v>
      </c>
      <c r="G162" s="12" t="n">
        <v>393.82</v>
      </c>
      <c r="H162" s="12" t="n">
        <v>271.6</v>
      </c>
      <c r="I162" s="12">
        <f>IF($H162&gt;0,$H162,IFERROR($G162/Import_Mapping!$B$7,0))</f>
        <v/>
      </c>
    </row>
    <row r="163">
      <c r="A163" s="11" t="n">
        <v>46137</v>
      </c>
      <c r="B163" s="20" t="inlineStr">
        <is>
          <t>Odra Handel Sp.</t>
        </is>
      </c>
      <c r="C163" s="20" t="inlineStr">
        <is>
          <t>PL</t>
        </is>
      </c>
      <c r="D163" s="20" t="inlineStr">
        <is>
          <t>Getraenke</t>
        </is>
      </c>
      <c r="E163" s="14" t="n">
        <v>52704</v>
      </c>
      <c r="F163" s="13" t="n">
        <v>50068.8</v>
      </c>
      <c r="G163" s="12" t="n">
        <v>85.09</v>
      </c>
      <c r="H163" s="12" t="n">
        <v>54.9</v>
      </c>
      <c r="I163" s="12">
        <f>IF($H163&gt;0,$H163,IFERROR($G163/Import_Mapping!$B$7,0))</f>
        <v/>
      </c>
    </row>
    <row r="164">
      <c r="A164" s="11" t="n">
        <v>46137</v>
      </c>
      <c r="B164" s="20" t="inlineStr">
        <is>
          <t>Odra Handel Sp.</t>
        </is>
      </c>
      <c r="C164" s="20" t="inlineStr">
        <is>
          <t>PL</t>
        </is>
      </c>
      <c r="D164" s="20" t="inlineStr">
        <is>
          <t>Trockensortiment</t>
        </is>
      </c>
      <c r="E164" s="14" t="n">
        <v>27864</v>
      </c>
      <c r="F164" s="13" t="n">
        <v>51548.4</v>
      </c>
      <c r="G164" s="12" t="n">
        <v>56.12</v>
      </c>
      <c r="H164" s="12" t="n">
        <v>38.7</v>
      </c>
      <c r="I164" s="12">
        <f>IF($H164&gt;0,$H164,IFERROR($G164/Import_Mapping!$B$7,0))</f>
        <v/>
      </c>
    </row>
    <row r="165">
      <c r="A165" s="11" t="n">
        <v>46143</v>
      </c>
      <c r="B165" s="20" t="inlineStr">
        <is>
          <t>Hessen Vertrieb GmbH</t>
        </is>
      </c>
      <c r="C165" s="20" t="inlineStr">
        <is>
          <t>DE-Mitte</t>
        </is>
      </c>
      <c r="D165" s="20" t="inlineStr">
        <is>
          <t>Aktionsware</t>
        </is>
      </c>
      <c r="E165" s="14" t="n">
        <v>5652</v>
      </c>
      <c r="F165" s="13" t="n">
        <v>35042.4</v>
      </c>
      <c r="G165" s="12" t="n">
        <v>23.55</v>
      </c>
      <c r="H165" s="12" t="n">
        <v>15.7</v>
      </c>
      <c r="I165" s="12">
        <f>IF($H165&gt;0,$H165,IFERROR($G165/Import_Mapping!$B$7,0))</f>
        <v/>
      </c>
    </row>
    <row r="166">
      <c r="A166" s="11" t="n">
        <v>46143</v>
      </c>
      <c r="B166" s="20" t="inlineStr">
        <is>
          <t>Randstad Retail BV</t>
        </is>
      </c>
      <c r="C166" s="20" t="inlineStr">
        <is>
          <t>NL</t>
        </is>
      </c>
      <c r="D166" s="20" t="inlineStr">
        <is>
          <t>Trockensortiment</t>
        </is>
      </c>
      <c r="E166" s="14" t="n">
        <v>55512</v>
      </c>
      <c r="F166" s="13" t="n">
        <v>102697.2</v>
      </c>
      <c r="G166" s="12" t="n">
        <v>111.79</v>
      </c>
      <c r="H166" s="12" t="n">
        <v>77.09999999999999</v>
      </c>
      <c r="I166" s="12">
        <f>IF($H166&gt;0,$H166,IFERROR($G166/Import_Mapping!$B$7,0))</f>
        <v/>
      </c>
    </row>
    <row r="167">
      <c r="A167" s="11" t="n">
        <v>46144</v>
      </c>
      <c r="B167" s="20" t="inlineStr">
        <is>
          <t>Spree Markt AG</t>
        </is>
      </c>
      <c r="C167" s="20" t="inlineStr">
        <is>
          <t>DE-Ost</t>
        </is>
      </c>
      <c r="D167" s="20" t="inlineStr">
        <is>
          <t>Non-Food</t>
        </is>
      </c>
      <c r="E167" s="14" t="n">
        <v>7392</v>
      </c>
      <c r="F167" s="13" t="n">
        <v>92400</v>
      </c>
      <c r="G167" s="12" t="n">
        <v>49.28</v>
      </c>
      <c r="H167" s="12" t="n">
        <v>30.8</v>
      </c>
      <c r="I167" s="12">
        <f>IF($H167&gt;0,$H167,IFERROR($G167/Import_Mapping!$B$7,0))</f>
        <v/>
      </c>
    </row>
    <row r="168">
      <c r="A168" s="11" t="n">
        <v>46145</v>
      </c>
      <c r="B168" s="20" t="inlineStr">
        <is>
          <t>Spree Markt AG</t>
        </is>
      </c>
      <c r="C168" s="20" t="inlineStr">
        <is>
          <t>DE-Ost</t>
        </is>
      </c>
      <c r="D168" s="20" t="inlineStr">
        <is>
          <t>Aktionsware</t>
        </is>
      </c>
      <c r="E168" s="14" t="n">
        <v>5148</v>
      </c>
      <c r="F168" s="13" t="n">
        <v>31917.6</v>
      </c>
      <c r="G168" s="12" t="n">
        <v>21.45</v>
      </c>
      <c r="H168" s="12" t="n">
        <v>14.3</v>
      </c>
      <c r="I168" s="12">
        <f>IF($H168&gt;0,$H168,IFERROR($G168/Import_Mapping!$B$7,0))</f>
        <v/>
      </c>
    </row>
    <row r="169">
      <c r="A169" s="11" t="n">
        <v>46145</v>
      </c>
      <c r="B169" s="20" t="inlineStr">
        <is>
          <t>Odra Handel Sp.</t>
        </is>
      </c>
      <c r="C169" s="20" t="inlineStr">
        <is>
          <t>PL</t>
        </is>
      </c>
      <c r="D169" s="20" t="inlineStr">
        <is>
          <t>Trockensortiment</t>
        </is>
      </c>
      <c r="E169" s="14" t="n">
        <v>30816</v>
      </c>
      <c r="F169" s="13" t="n">
        <v>57009.6</v>
      </c>
      <c r="G169" s="12" t="n">
        <v>62.06</v>
      </c>
      <c r="H169" s="12" t="n">
        <v>42.8</v>
      </c>
      <c r="I169" s="12">
        <f>IF($H169&gt;0,$H169,IFERROR($G169/Import_Mapping!$B$7,0))</f>
        <v/>
      </c>
    </row>
    <row r="170">
      <c r="A170" s="11" t="n">
        <v>46146</v>
      </c>
      <c r="B170" s="20" t="inlineStr">
        <is>
          <t>Mainpunkt Handel</t>
        </is>
      </c>
      <c r="C170" s="20" t="inlineStr">
        <is>
          <t>DE-Mitte</t>
        </is>
      </c>
      <c r="D170" s="20" t="inlineStr">
        <is>
          <t>Getraenke</t>
        </is>
      </c>
      <c r="E170" s="14" t="n">
        <v>200160</v>
      </c>
      <c r="F170" s="13" t="n">
        <v>190152</v>
      </c>
      <c r="G170" s="12" t="n">
        <v>323.18</v>
      </c>
      <c r="H170" s="12" t="n">
        <v>208.5</v>
      </c>
      <c r="I170" s="12">
        <f>IF($H170&gt;0,$H170,IFERROR($G170/Import_Mapping!$B$7,0))</f>
        <v/>
      </c>
    </row>
    <row r="171">
      <c r="A171" s="11" t="n">
        <v>46146</v>
      </c>
      <c r="B171" s="20" t="inlineStr">
        <is>
          <t>Mainpunkt Handel</t>
        </is>
      </c>
      <c r="C171" s="20" t="inlineStr">
        <is>
          <t>DE-Mitte</t>
        </is>
      </c>
      <c r="D171" s="20" t="inlineStr">
        <is>
          <t>Trockensortiment</t>
        </is>
      </c>
      <c r="E171" s="14" t="n">
        <v>95976</v>
      </c>
      <c r="F171" s="13" t="n">
        <v>177555.6</v>
      </c>
      <c r="G171" s="12" t="n">
        <v>193.28</v>
      </c>
      <c r="H171" s="12" t="n">
        <v>133.3</v>
      </c>
      <c r="I171" s="12">
        <f>IF($H171&gt;0,$H171,IFERROR($G171/Import_Mapping!$B$7,0))</f>
        <v/>
      </c>
    </row>
    <row r="172">
      <c r="A172" s="11" t="n">
        <v>46146</v>
      </c>
      <c r="B172" s="20" t="inlineStr">
        <is>
          <t>Kuestenlager KG</t>
        </is>
      </c>
      <c r="C172" s="20" t="inlineStr">
        <is>
          <t>DE-Nord</t>
        </is>
      </c>
      <c r="D172" s="20" t="inlineStr">
        <is>
          <t>Trockensortiment</t>
        </is>
      </c>
      <c r="E172" s="14" t="n">
        <v>124488</v>
      </c>
      <c r="F172" s="13" t="n">
        <v>230302.8</v>
      </c>
      <c r="G172" s="12" t="n">
        <v>250.71</v>
      </c>
      <c r="H172" s="12" t="n">
        <v>172.9</v>
      </c>
      <c r="I172" s="12">
        <f>IF($H172&gt;0,$H172,IFERROR($G172/Import_Mapping!$B$7,0))</f>
        <v/>
      </c>
    </row>
    <row r="173">
      <c r="A173" s="11" t="n">
        <v>46146</v>
      </c>
      <c r="B173" s="20" t="inlineStr">
        <is>
          <t>Westfilial AG</t>
        </is>
      </c>
      <c r="C173" s="20" t="inlineStr">
        <is>
          <t>DE-West</t>
        </is>
      </c>
      <c r="D173" s="20" t="inlineStr">
        <is>
          <t>Aktionsware</t>
        </is>
      </c>
      <c r="E173" s="14" t="n">
        <v>9036</v>
      </c>
      <c r="F173" s="13" t="n">
        <v>56023.2</v>
      </c>
      <c r="G173" s="12" t="n">
        <v>37.65</v>
      </c>
      <c r="H173" s="12" t="n">
        <v>25.1</v>
      </c>
      <c r="I173" s="12">
        <f>IF($H173&gt;0,$H173,IFERROR($G173/Import_Mapping!$B$7,0))</f>
        <v/>
      </c>
    </row>
    <row r="174">
      <c r="A174" s="11" t="n">
        <v>46146</v>
      </c>
      <c r="B174" s="20" t="inlineStr">
        <is>
          <t>Wisla Retail Sp.</t>
        </is>
      </c>
      <c r="C174" s="20" t="inlineStr">
        <is>
          <t>PL</t>
        </is>
      </c>
      <c r="D174" s="20" t="inlineStr">
        <is>
          <t>Non-Food</t>
        </is>
      </c>
      <c r="E174" s="14" t="n">
        <v>11952</v>
      </c>
      <c r="F174" s="13" t="n">
        <v>149400</v>
      </c>
      <c r="G174" s="12" t="n">
        <v>79.68000000000001</v>
      </c>
      <c r="H174" s="12" t="n">
        <v>49.8</v>
      </c>
      <c r="I174" s="12">
        <f>IF($H174&gt;0,$H174,IFERROR($G174/Import_Mapping!$B$7,0))</f>
        <v/>
      </c>
    </row>
    <row r="175">
      <c r="A175" s="11" t="n">
        <v>46147</v>
      </c>
      <c r="B175" s="20" t="inlineStr">
        <is>
          <t>Sachsen Handel GmbH</t>
        </is>
      </c>
      <c r="C175" s="20" t="inlineStr">
        <is>
          <t>DE-Ost</t>
        </is>
      </c>
      <c r="D175" s="20" t="inlineStr">
        <is>
          <t>Kuehlware</t>
        </is>
      </c>
      <c r="E175" s="14" t="n">
        <v>33984</v>
      </c>
      <c r="F175" s="13" t="n">
        <v>115545.6</v>
      </c>
      <c r="G175" s="12" t="n">
        <v>92.04000000000001</v>
      </c>
      <c r="H175" s="12" t="n">
        <v>70.8</v>
      </c>
      <c r="I175" s="12">
        <f>IF($H175&gt;0,$H175,IFERROR($G175/Import_Mapping!$B$7,0))</f>
        <v/>
      </c>
    </row>
    <row r="176">
      <c r="A176" s="11" t="n">
        <v>46147</v>
      </c>
      <c r="B176" s="20" t="inlineStr">
        <is>
          <t>Westfilial AG</t>
        </is>
      </c>
      <c r="C176" s="20" t="inlineStr">
        <is>
          <t>DE-West</t>
        </is>
      </c>
      <c r="D176" s="20" t="inlineStr">
        <is>
          <t>Getraenke</t>
        </is>
      </c>
      <c r="E176" s="14" t="n">
        <v>277824</v>
      </c>
      <c r="F176" s="13" t="n">
        <v>263932.8</v>
      </c>
      <c r="G176" s="12" t="n">
        <v>448.57</v>
      </c>
      <c r="H176" s="12" t="n">
        <v>289.4</v>
      </c>
      <c r="I176" s="12">
        <f>IF($H176&gt;0,$H176,IFERROR($G176/Import_Mapping!$B$7,0))</f>
        <v/>
      </c>
    </row>
    <row r="177">
      <c r="A177" s="11" t="n">
        <v>46148</v>
      </c>
      <c r="B177" s="20" t="inlineStr">
        <is>
          <t>Tirol Handel AG</t>
        </is>
      </c>
      <c r="C177" s="20" t="inlineStr">
        <is>
          <t>AT</t>
        </is>
      </c>
      <c r="D177" s="20" t="inlineStr">
        <is>
          <t>Trockensortiment</t>
        </is>
      </c>
      <c r="E177" s="14" t="n">
        <v>35712</v>
      </c>
      <c r="F177" s="13" t="n">
        <v>66067.2</v>
      </c>
      <c r="G177" s="12" t="n">
        <v>71.92</v>
      </c>
      <c r="H177" s="12" t="n">
        <v>49.6</v>
      </c>
      <c r="I177" s="12">
        <f>IF($H177&gt;0,$H177,IFERROR($G177/Import_Mapping!$B$7,0))</f>
        <v/>
      </c>
    </row>
    <row r="178">
      <c r="A178" s="11" t="n">
        <v>46149</v>
      </c>
      <c r="B178" s="20" t="inlineStr">
        <is>
          <t>Austria Markt GmbH</t>
        </is>
      </c>
      <c r="C178" s="20" t="inlineStr">
        <is>
          <t>AT</t>
        </is>
      </c>
      <c r="D178" s="20" t="inlineStr">
        <is>
          <t>Non-Food</t>
        </is>
      </c>
      <c r="E178" s="14" t="n">
        <v>5568</v>
      </c>
      <c r="F178" s="13" t="n">
        <v>69600</v>
      </c>
      <c r="G178" s="12" t="n">
        <v>37.12</v>
      </c>
      <c r="H178" s="12" t="n">
        <v>23.2</v>
      </c>
      <c r="I178" s="12">
        <f>IF($H178&gt;0,$H178,IFERROR($G178/Import_Mapping!$B$7,0))</f>
        <v/>
      </c>
    </row>
    <row r="179">
      <c r="A179" s="11" t="n">
        <v>46152</v>
      </c>
      <c r="B179" s="20" t="inlineStr">
        <is>
          <t>Spree Markt AG</t>
        </is>
      </c>
      <c r="C179" s="20" t="inlineStr">
        <is>
          <t>DE-Ost</t>
        </is>
      </c>
      <c r="D179" s="20" t="inlineStr">
        <is>
          <t>Trockensortiment</t>
        </is>
      </c>
      <c r="E179" s="14" t="n">
        <v>72144</v>
      </c>
      <c r="F179" s="13" t="n">
        <v>133466.4</v>
      </c>
      <c r="G179" s="12" t="n">
        <v>145.29</v>
      </c>
      <c r="H179" s="12" t="n">
        <v>100.2</v>
      </c>
      <c r="I179" s="12">
        <f>IF($H179&gt;0,$H179,IFERROR($G179/Import_Mapping!$B$7,0))</f>
        <v/>
      </c>
    </row>
    <row r="180">
      <c r="A180" s="11" t="n">
        <v>46153</v>
      </c>
      <c r="B180" s="20" t="inlineStr">
        <is>
          <t>Kuestenlager KG</t>
        </is>
      </c>
      <c r="C180" s="20" t="inlineStr">
        <is>
          <t>DE-Nord</t>
        </is>
      </c>
      <c r="D180" s="20" t="inlineStr">
        <is>
          <t>Kuehlware</t>
        </is>
      </c>
      <c r="E180" s="14" t="n">
        <v>66864</v>
      </c>
      <c r="F180" s="13" t="n">
        <v>227337.6</v>
      </c>
      <c r="G180" s="12" t="n">
        <v>181.09</v>
      </c>
      <c r="H180" s="12" t="n">
        <v>139.3</v>
      </c>
      <c r="I180" s="12">
        <f>IF($H180&gt;0,$H180,IFERROR($G180/Import_Mapping!$B$7,0))</f>
        <v/>
      </c>
    </row>
    <row r="181">
      <c r="A181" s="11" t="n">
        <v>46153</v>
      </c>
      <c r="B181" s="20" t="inlineStr">
        <is>
          <t>Sachsen Handel GmbH</t>
        </is>
      </c>
      <c r="C181" s="20" t="inlineStr">
        <is>
          <t>DE-Ost</t>
        </is>
      </c>
      <c r="D181" s="20" t="inlineStr">
        <is>
          <t>Getraenke</t>
        </is>
      </c>
      <c r="E181" s="14" t="n">
        <v>173664</v>
      </c>
      <c r="F181" s="13" t="n">
        <v>164980.8</v>
      </c>
      <c r="G181" s="12" t="n">
        <v>280.4</v>
      </c>
      <c r="H181" s="12" t="n">
        <v>180.9</v>
      </c>
      <c r="I181" s="12">
        <f>IF($H181&gt;0,$H181,IFERROR($G181/Import_Mapping!$B$7,0))</f>
        <v/>
      </c>
    </row>
    <row r="182">
      <c r="A182" s="11" t="n">
        <v>46153</v>
      </c>
      <c r="B182" s="20" t="inlineStr">
        <is>
          <t>Donau Handel AG</t>
        </is>
      </c>
      <c r="C182" s="20" t="inlineStr">
        <is>
          <t>DE-Sued</t>
        </is>
      </c>
      <c r="D182" s="20" t="inlineStr">
        <is>
          <t>Getraenke</t>
        </is>
      </c>
      <c r="E182" s="14" t="n">
        <v>296544</v>
      </c>
      <c r="F182" s="13" t="n">
        <v>281716.8</v>
      </c>
      <c r="G182" s="12" t="n">
        <v>478.79</v>
      </c>
      <c r="H182" s="12" t="n">
        <v>308.9</v>
      </c>
      <c r="I182" s="12">
        <f>IF($H182&gt;0,$H182,IFERROR($G182/Import_Mapping!$B$7,0))</f>
        <v/>
      </c>
    </row>
    <row r="183">
      <c r="A183" s="11" t="n">
        <v>46154</v>
      </c>
      <c r="B183" s="20" t="inlineStr">
        <is>
          <t>Elbe Handel GmbH</t>
        </is>
      </c>
      <c r="C183" s="20" t="inlineStr">
        <is>
          <t>DE-Nord</t>
        </is>
      </c>
      <c r="D183" s="20" t="inlineStr">
        <is>
          <t>Getraenke</t>
        </is>
      </c>
      <c r="E183" s="14" t="n">
        <v>229536</v>
      </c>
      <c r="F183" s="13" t="n">
        <v>218059.2</v>
      </c>
      <c r="G183" s="12" t="n">
        <v>370.61</v>
      </c>
      <c r="H183" s="12" t="n">
        <v>239.1</v>
      </c>
      <c r="I183" s="12">
        <f>IF($H183&gt;0,$H183,IFERROR($G183/Import_Mapping!$B$7,0))</f>
        <v/>
      </c>
    </row>
    <row r="184">
      <c r="A184" s="11" t="n">
        <v>46155</v>
      </c>
      <c r="B184" s="20" t="inlineStr">
        <is>
          <t>Donau Handel AG</t>
        </is>
      </c>
      <c r="C184" s="20" t="inlineStr">
        <is>
          <t>DE-Sued</t>
        </is>
      </c>
      <c r="D184" s="20" t="inlineStr">
        <is>
          <t>Kuehlware</t>
        </is>
      </c>
      <c r="E184" s="14" t="n">
        <v>48192</v>
      </c>
      <c r="F184" s="13" t="n">
        <v>163852.8</v>
      </c>
      <c r="G184" s="12" t="n">
        <v>130.52</v>
      </c>
      <c r="H184" s="12" t="n">
        <v>100.4</v>
      </c>
      <c r="I184" s="12">
        <f>IF($H184&gt;0,$H184,IFERROR($G184/Import_Mapping!$B$7,0))</f>
        <v/>
      </c>
    </row>
    <row r="185">
      <c r="A185" s="11" t="n">
        <v>46155</v>
      </c>
      <c r="B185" s="20" t="inlineStr">
        <is>
          <t>Ruhr Frische GmbH</t>
        </is>
      </c>
      <c r="C185" s="20" t="inlineStr">
        <is>
          <t>DE-West</t>
        </is>
      </c>
      <c r="D185" s="20" t="inlineStr">
        <is>
          <t>Kuehlware</t>
        </is>
      </c>
      <c r="E185" s="14" t="n">
        <v>54336</v>
      </c>
      <c r="F185" s="13" t="n">
        <v>184742.4</v>
      </c>
      <c r="G185" s="12" t="n">
        <v>147.16</v>
      </c>
      <c r="H185" s="12" t="n">
        <v>113.2</v>
      </c>
      <c r="I185" s="12">
        <f>IF($H185&gt;0,$H185,IFERROR($G185/Import_Mapping!$B$7,0))</f>
        <v/>
      </c>
    </row>
    <row r="186">
      <c r="A186" s="11" t="n">
        <v>46155</v>
      </c>
      <c r="B186" s="20" t="inlineStr">
        <is>
          <t>Ruhr Frische GmbH</t>
        </is>
      </c>
      <c r="C186" s="20" t="inlineStr">
        <is>
          <t>DE-West</t>
        </is>
      </c>
      <c r="D186" s="20" t="inlineStr">
        <is>
          <t>Non-Food</t>
        </is>
      </c>
      <c r="E186" s="14" t="n">
        <v>18240</v>
      </c>
      <c r="F186" s="13" t="n">
        <v>228000</v>
      </c>
      <c r="G186" s="12" t="n">
        <v>121.6</v>
      </c>
      <c r="H186" s="12" t="n">
        <v>76</v>
      </c>
      <c r="I186" s="12">
        <f>IF($H186&gt;0,$H186,IFERROR($G186/Import_Mapping!$B$7,0))</f>
        <v/>
      </c>
    </row>
    <row r="187">
      <c r="A187" s="11" t="n">
        <v>46155</v>
      </c>
      <c r="B187" s="20" t="inlineStr">
        <is>
          <t>Delta Foods BV</t>
        </is>
      </c>
      <c r="C187" s="20" t="inlineStr">
        <is>
          <t>NL</t>
        </is>
      </c>
      <c r="D187" s="20" t="inlineStr">
        <is>
          <t>Getraenke</t>
        </is>
      </c>
      <c r="E187" s="14" t="n">
        <v>70080</v>
      </c>
      <c r="F187" s="13" t="n">
        <v>66576</v>
      </c>
      <c r="G187" s="12" t="n">
        <v>113.15</v>
      </c>
      <c r="H187" s="12" t="n">
        <v>73</v>
      </c>
      <c r="I187" s="12">
        <f>IF($H187&gt;0,$H187,IFERROR($G187/Import_Mapping!$B$7,0))</f>
        <v/>
      </c>
    </row>
    <row r="188">
      <c r="A188" s="11" t="n">
        <v>46156</v>
      </c>
      <c r="B188" s="20" t="inlineStr">
        <is>
          <t>Sued Filialen KG</t>
        </is>
      </c>
      <c r="C188" s="20" t="inlineStr">
        <is>
          <t>DE-Sued</t>
        </is>
      </c>
      <c r="D188" s="20" t="inlineStr">
        <is>
          <t>Trockensortiment</t>
        </is>
      </c>
      <c r="E188" s="14" t="n">
        <v>129168</v>
      </c>
      <c r="F188" s="13" t="n">
        <v>238960.8</v>
      </c>
      <c r="G188" s="12" t="n">
        <v>260.13</v>
      </c>
      <c r="H188" s="12" t="n">
        <v>179.4</v>
      </c>
      <c r="I188" s="12">
        <f>IF($H188&gt;0,$H188,IFERROR($G188/Import_Mapping!$B$7,0))</f>
        <v/>
      </c>
    </row>
    <row r="189">
      <c r="A189" s="11" t="n">
        <v>46156</v>
      </c>
      <c r="B189" s="20" t="inlineStr">
        <is>
          <t>Delta Foods BV</t>
        </is>
      </c>
      <c r="C189" s="20" t="inlineStr">
        <is>
          <t>NL</t>
        </is>
      </c>
      <c r="D189" s="20" t="inlineStr">
        <is>
          <t>Non-Food</t>
        </is>
      </c>
      <c r="E189" s="14" t="n">
        <v>6552</v>
      </c>
      <c r="F189" s="13" t="n">
        <v>81900</v>
      </c>
      <c r="G189" s="12" t="n">
        <v>43.68</v>
      </c>
      <c r="H189" s="12" t="n">
        <v>27.3</v>
      </c>
      <c r="I189" s="12">
        <f>IF($H189&gt;0,$H189,IFERROR($G189/Import_Mapping!$B$7,0))</f>
        <v/>
      </c>
    </row>
    <row r="190">
      <c r="A190" s="11" t="n">
        <v>46159</v>
      </c>
      <c r="B190" s="20" t="inlineStr">
        <is>
          <t>Odra Handel Sp.</t>
        </is>
      </c>
      <c r="C190" s="20" t="inlineStr">
        <is>
          <t>PL</t>
        </is>
      </c>
      <c r="D190" s="20" t="inlineStr">
        <is>
          <t>Getraenke</t>
        </is>
      </c>
      <c r="E190" s="14" t="n">
        <v>58272</v>
      </c>
      <c r="F190" s="13" t="n">
        <v>55358.4</v>
      </c>
      <c r="G190" s="12" t="n">
        <v>94.09</v>
      </c>
      <c r="H190" s="12" t="n">
        <v>60.7</v>
      </c>
      <c r="I190" s="12">
        <f>IF($H190&gt;0,$H190,IFERROR($G190/Import_Mapping!$B$7,0))</f>
        <v/>
      </c>
    </row>
    <row r="191">
      <c r="A191" s="11" t="n">
        <v>46160</v>
      </c>
      <c r="B191" s="20" t="inlineStr">
        <is>
          <t>Westfilial AG</t>
        </is>
      </c>
      <c r="C191" s="20" t="inlineStr">
        <is>
          <t>DE-West</t>
        </is>
      </c>
      <c r="D191" s="20" t="inlineStr">
        <is>
          <t>Trockensortiment</t>
        </is>
      </c>
      <c r="E191" s="14" t="n">
        <v>192384</v>
      </c>
      <c r="F191" s="13" t="n">
        <v>355910.4</v>
      </c>
      <c r="G191" s="12" t="n">
        <v>387.44</v>
      </c>
      <c r="H191" s="12" t="n">
        <v>267.2</v>
      </c>
      <c r="I191" s="12">
        <f>IF($H191&gt;0,$H191,IFERROR($G191/Import_Mapping!$B$7,0))</f>
        <v/>
      </c>
    </row>
    <row r="192">
      <c r="A192" s="11" t="n">
        <v>46160</v>
      </c>
      <c r="B192" s="20" t="inlineStr">
        <is>
          <t>Odra Handel Sp.</t>
        </is>
      </c>
      <c r="C192" s="20" t="inlineStr">
        <is>
          <t>PL</t>
        </is>
      </c>
      <c r="D192" s="20" t="inlineStr">
        <is>
          <t>Aktionsware</t>
        </is>
      </c>
      <c r="E192" s="14" t="n">
        <v>10872</v>
      </c>
      <c r="F192" s="13" t="n">
        <v>67406.39999999999</v>
      </c>
      <c r="G192" s="12" t="n">
        <v>45.3</v>
      </c>
      <c r="H192" s="12" t="n">
        <v>30.2</v>
      </c>
      <c r="I192" s="12">
        <f>IF($H192&gt;0,$H192,IFERROR($G192/Import_Mapping!$B$7,0))</f>
        <v/>
      </c>
    </row>
    <row r="193">
      <c r="A193" s="11" t="n">
        <v>46161</v>
      </c>
      <c r="B193" s="20" t="inlineStr">
        <is>
          <t>Randstad Retail BV</t>
        </is>
      </c>
      <c r="C193" s="20" t="inlineStr">
        <is>
          <t>NL</t>
        </is>
      </c>
      <c r="D193" s="20" t="inlineStr">
        <is>
          <t>Kuehlware</t>
        </is>
      </c>
      <c r="E193" s="14" t="n">
        <v>24624</v>
      </c>
      <c r="F193" s="13" t="n">
        <v>83721.60000000001</v>
      </c>
      <c r="G193" s="12" t="n">
        <v>66.69</v>
      </c>
      <c r="H193" s="12" t="n">
        <v>51.3</v>
      </c>
      <c r="I193" s="12">
        <f>IF($H193&gt;0,$H193,IFERROR($G193/Import_Mapping!$B$7,0))</f>
        <v/>
      </c>
    </row>
    <row r="194">
      <c r="A194" s="11" t="n">
        <v>46162</v>
      </c>
      <c r="B194" s="20" t="inlineStr">
        <is>
          <t>Nordmarkt AG</t>
        </is>
      </c>
      <c r="C194" s="20" t="inlineStr">
        <is>
          <t>DE-Nord</t>
        </is>
      </c>
      <c r="D194" s="20" t="inlineStr">
        <is>
          <t>Aktionsware</t>
        </is>
      </c>
      <c r="E194" s="14" t="n">
        <v>5760</v>
      </c>
      <c r="F194" s="13" t="n">
        <v>35712</v>
      </c>
      <c r="G194" s="12" t="n">
        <v>24</v>
      </c>
      <c r="H194" s="12" t="n">
        <v>16</v>
      </c>
      <c r="I194" s="12">
        <f>IF($H194&gt;0,$H194,IFERROR($G194/Import_Mapping!$B$7,0))</f>
        <v/>
      </c>
    </row>
    <row r="195">
      <c r="A195" s="11" t="n">
        <v>46163</v>
      </c>
      <c r="B195" s="20" t="inlineStr">
        <is>
          <t>Tirol Handel AG</t>
        </is>
      </c>
      <c r="C195" s="20" t="inlineStr">
        <is>
          <t>AT</t>
        </is>
      </c>
      <c r="D195" s="20" t="inlineStr">
        <is>
          <t>Aktionsware</t>
        </is>
      </c>
      <c r="E195" s="14" t="n">
        <v>2772</v>
      </c>
      <c r="F195" s="13" t="n">
        <v>17186.4</v>
      </c>
      <c r="G195" s="12" t="n">
        <v>11.55</v>
      </c>
      <c r="H195" s="12" t="n">
        <v>7.7</v>
      </c>
      <c r="I195" s="12">
        <f>IF($H195&gt;0,$H195,IFERROR($G195/Import_Mapping!$B$7,0))</f>
        <v/>
      </c>
    </row>
    <row r="196">
      <c r="A196" s="11" t="n">
        <v>46163</v>
      </c>
      <c r="B196" s="20" t="inlineStr">
        <is>
          <t>Hessen Vertrieb GmbH</t>
        </is>
      </c>
      <c r="C196" s="20" t="inlineStr">
        <is>
          <t>DE-Mitte</t>
        </is>
      </c>
      <c r="D196" s="20" t="inlineStr">
        <is>
          <t>Non-Food</t>
        </is>
      </c>
      <c r="E196" s="14" t="n">
        <v>8832</v>
      </c>
      <c r="F196" s="13" t="n">
        <v>110400</v>
      </c>
      <c r="G196" s="12" t="n">
        <v>58.88</v>
      </c>
      <c r="H196" s="12" t="n">
        <v>36.8</v>
      </c>
      <c r="I196" s="12">
        <f>IF($H196&gt;0,$H196,IFERROR($G196/Import_Mapping!$B$7,0))</f>
        <v/>
      </c>
    </row>
    <row r="197">
      <c r="A197" s="11" t="n">
        <v>46163</v>
      </c>
      <c r="B197" s="20" t="inlineStr">
        <is>
          <t>Kuestenlager KG</t>
        </is>
      </c>
      <c r="C197" s="20" t="inlineStr">
        <is>
          <t>DE-Nord</t>
        </is>
      </c>
      <c r="D197" s="20" t="inlineStr">
        <is>
          <t>Non-Food</t>
        </is>
      </c>
      <c r="E197" s="14" t="n">
        <v>10968</v>
      </c>
      <c r="F197" s="13" t="n">
        <v>137100</v>
      </c>
      <c r="G197" s="12" t="n">
        <v>73.12</v>
      </c>
      <c r="H197" s="12" t="n">
        <v>45.7</v>
      </c>
      <c r="I197" s="12">
        <f>IF($H197&gt;0,$H197,IFERROR($G197/Import_Mapping!$B$7,0))</f>
        <v/>
      </c>
    </row>
    <row r="198">
      <c r="A198" s="11" t="n">
        <v>46163</v>
      </c>
      <c r="B198" s="20" t="inlineStr">
        <is>
          <t>Alpenmarkt GmbH</t>
        </is>
      </c>
      <c r="C198" s="20" t="inlineStr">
        <is>
          <t>DE-Sued</t>
        </is>
      </c>
      <c r="D198" s="20" t="inlineStr">
        <is>
          <t>Aktionsware</t>
        </is>
      </c>
      <c r="E198" s="14" t="n">
        <v>7776</v>
      </c>
      <c r="F198" s="13" t="n">
        <v>48211.2</v>
      </c>
      <c r="G198" s="12" t="n">
        <v>32.4</v>
      </c>
      <c r="H198" s="12" t="n">
        <v>21.6</v>
      </c>
      <c r="I198" s="12">
        <f>IF($H198&gt;0,$H198,IFERROR($G198/Import_Mapping!$B$7,0))</f>
        <v/>
      </c>
    </row>
    <row r="199">
      <c r="A199" s="11" t="n">
        <v>46164</v>
      </c>
      <c r="B199" s="20" t="inlineStr">
        <is>
          <t>Wisla Retail Sp.</t>
        </is>
      </c>
      <c r="C199" s="20" t="inlineStr">
        <is>
          <t>PL</t>
        </is>
      </c>
      <c r="D199" s="20" t="inlineStr">
        <is>
          <t>Kuehlware</t>
        </is>
      </c>
      <c r="E199" s="14" t="n">
        <v>8016</v>
      </c>
      <c r="F199" s="13" t="n">
        <v>27254.4</v>
      </c>
      <c r="G199" s="12" t="n">
        <v>21.71</v>
      </c>
      <c r="H199" s="12" t="n">
        <v>16.7</v>
      </c>
      <c r="I199" s="12">
        <f>IF($H199&gt;0,$H199,IFERROR($G199/Import_Mapping!$B$7,0))</f>
        <v/>
      </c>
    </row>
    <row r="200">
      <c r="A200" s="11" t="n">
        <v>46165</v>
      </c>
      <c r="B200" s="20" t="inlineStr">
        <is>
          <t>Austria Markt GmbH</t>
        </is>
      </c>
      <c r="C200" s="20" t="inlineStr">
        <is>
          <t>AT</t>
        </is>
      </c>
      <c r="D200" s="20" t="inlineStr">
        <is>
          <t>Kuehlware</t>
        </is>
      </c>
      <c r="E200" s="14" t="n">
        <v>14832</v>
      </c>
      <c r="F200" s="13" t="n">
        <v>50428.8</v>
      </c>
      <c r="G200" s="12" t="n">
        <v>40.17</v>
      </c>
      <c r="H200" s="12" t="n">
        <v>30.9</v>
      </c>
      <c r="I200" s="12">
        <f>IF($H200&gt;0,$H200,IFERROR($G200/Import_Mapping!$B$7,0))</f>
        <v/>
      </c>
    </row>
    <row r="201">
      <c r="A201" s="11" t="n">
        <v>46166</v>
      </c>
      <c r="B201" s="20" t="inlineStr">
        <is>
          <t>Austria Markt GmbH</t>
        </is>
      </c>
      <c r="C201" s="20" t="inlineStr">
        <is>
          <t>AT</t>
        </is>
      </c>
      <c r="D201" s="20" t="inlineStr">
        <is>
          <t>Getraenke</t>
        </is>
      </c>
      <c r="E201" s="14" t="n">
        <v>77088</v>
      </c>
      <c r="F201" s="13" t="n">
        <v>73233.60000000001</v>
      </c>
      <c r="G201" s="12" t="n">
        <v>124.47</v>
      </c>
      <c r="H201" s="12" t="n">
        <v>80.3</v>
      </c>
      <c r="I201" s="12">
        <f>IF($H201&gt;0,$H201,IFERROR($G201/Import_Mapping!$B$7,0))</f>
        <v/>
      </c>
    </row>
    <row r="202">
      <c r="A202" s="11" t="n">
        <v>46166</v>
      </c>
      <c r="B202" s="20" t="inlineStr">
        <is>
          <t>Hessen Vertrieb GmbH</t>
        </is>
      </c>
      <c r="C202" s="20" t="inlineStr">
        <is>
          <t>DE-Mitte</t>
        </is>
      </c>
      <c r="D202" s="20" t="inlineStr">
        <is>
          <t>Kuehlware</t>
        </is>
      </c>
      <c r="E202" s="14" t="n">
        <v>37104</v>
      </c>
      <c r="F202" s="13" t="n">
        <v>126153.6</v>
      </c>
      <c r="G202" s="12" t="n">
        <v>100.49</v>
      </c>
      <c r="H202" s="12" t="n">
        <v>77.3</v>
      </c>
      <c r="I202" s="12">
        <f>IF($H202&gt;0,$H202,IFERROR($G202/Import_Mapping!$B$7,0))</f>
        <v/>
      </c>
    </row>
    <row r="203">
      <c r="A203" s="11" t="n">
        <v>46167</v>
      </c>
      <c r="B203" s="20" t="inlineStr">
        <is>
          <t>Alpenmarkt GmbH</t>
        </is>
      </c>
      <c r="C203" s="20" t="inlineStr">
        <is>
          <t>DE-Sued</t>
        </is>
      </c>
      <c r="D203" s="20" t="inlineStr">
        <is>
          <t>Non-Food</t>
        </is>
      </c>
      <c r="E203" s="14" t="n">
        <v>14112</v>
      </c>
      <c r="F203" s="13" t="n">
        <v>176400</v>
      </c>
      <c r="G203" s="12" t="n">
        <v>94.08</v>
      </c>
      <c r="H203" s="12" t="n">
        <v>58.8</v>
      </c>
      <c r="I203" s="12">
        <f>IF($H203&gt;0,$H203,IFERROR($G203/Import_Mapping!$B$7,0))</f>
        <v/>
      </c>
    </row>
    <row r="204">
      <c r="A204" s="11" t="n">
        <v>46167</v>
      </c>
      <c r="B204" s="20" t="inlineStr">
        <is>
          <t>Randstad Retail BV</t>
        </is>
      </c>
      <c r="C204" s="20" t="inlineStr">
        <is>
          <t>NL</t>
        </is>
      </c>
      <c r="D204" s="20" t="inlineStr">
        <is>
          <t>Aktionsware</t>
        </is>
      </c>
      <c r="E204" s="14" t="n">
        <v>3096</v>
      </c>
      <c r="F204" s="13" t="n">
        <v>19195.2</v>
      </c>
      <c r="G204" s="12" t="n">
        <v>12.9</v>
      </c>
      <c r="H204" s="12" t="n">
        <v>8.6</v>
      </c>
      <c r="I204" s="12">
        <f>IF($H204&gt;0,$H204,IFERROR($G204/Import_Mapping!$B$7,0))</f>
        <v/>
      </c>
    </row>
    <row r="205">
      <c r="A205" s="11" t="n">
        <v>46174</v>
      </c>
      <c r="B205" s="20" t="inlineStr">
        <is>
          <t>Sachsen Handel GmbH</t>
        </is>
      </c>
      <c r="C205" s="20" t="inlineStr">
        <is>
          <t>DE-Ost</t>
        </is>
      </c>
      <c r="D205" s="20" t="inlineStr">
        <is>
          <t>Aktionsware</t>
        </is>
      </c>
      <c r="E205" s="14" t="n">
        <v>6372</v>
      </c>
      <c r="F205" s="13" t="n">
        <v>39506.4</v>
      </c>
      <c r="G205" s="12" t="n">
        <v>26.55</v>
      </c>
      <c r="H205" s="12" t="n">
        <v>17.7</v>
      </c>
      <c r="I205" s="12">
        <f>IF($H205&gt;0,$H205,IFERROR($G205/Import_Mapping!$B$7,0))</f>
        <v/>
      </c>
    </row>
    <row r="206">
      <c r="A206" s="11" t="n">
        <v>46175</v>
      </c>
      <c r="B206" s="20" t="inlineStr">
        <is>
          <t>Mainpunkt Handel</t>
        </is>
      </c>
      <c r="C206" s="20" t="inlineStr">
        <is>
          <t>DE-Mitte</t>
        </is>
      </c>
      <c r="D206" s="20" t="inlineStr">
        <is>
          <t>Trockensortiment</t>
        </is>
      </c>
      <c r="E206" s="14" t="n">
        <v>97344</v>
      </c>
      <c r="F206" s="13" t="n">
        <v>180086.4</v>
      </c>
      <c r="G206" s="12" t="n">
        <v>196.04</v>
      </c>
      <c r="H206" s="12" t="n">
        <v>135.2</v>
      </c>
      <c r="I206" s="12">
        <f>IF($H206&gt;0,$H206,IFERROR($G206/Import_Mapping!$B$7,0))</f>
        <v/>
      </c>
    </row>
    <row r="207">
      <c r="A207" s="11" t="n">
        <v>46175</v>
      </c>
      <c r="B207" s="20" t="inlineStr">
        <is>
          <t>Kuestenlager KG</t>
        </is>
      </c>
      <c r="C207" s="20" t="inlineStr">
        <is>
          <t>DE-Nord</t>
        </is>
      </c>
      <c r="D207" s="20" t="inlineStr">
        <is>
          <t>Getraenke</t>
        </is>
      </c>
      <c r="E207" s="14" t="n">
        <v>241728</v>
      </c>
      <c r="F207" s="13" t="n">
        <v>229641.6</v>
      </c>
      <c r="G207" s="12" t="n">
        <v>390.29</v>
      </c>
      <c r="H207" s="12" t="n">
        <v>251.8</v>
      </c>
      <c r="I207" s="12">
        <f>IF($H207&gt;0,$H207,IFERROR($G207/Import_Mapping!$B$7,0))</f>
        <v/>
      </c>
    </row>
    <row r="208">
      <c r="A208" s="11" t="n">
        <v>46175</v>
      </c>
      <c r="B208" s="20" t="inlineStr">
        <is>
          <t>Sachsen Handel GmbH</t>
        </is>
      </c>
      <c r="C208" s="20" t="inlineStr">
        <is>
          <t>DE-Ost</t>
        </is>
      </c>
      <c r="D208" s="20" t="inlineStr">
        <is>
          <t>Non-Food</t>
        </is>
      </c>
      <c r="E208" s="14" t="n">
        <v>8112</v>
      </c>
      <c r="F208" s="13" t="n">
        <v>101400</v>
      </c>
      <c r="G208" s="12" t="n">
        <v>54.08</v>
      </c>
      <c r="H208" s="12" t="n">
        <v>33.8</v>
      </c>
      <c r="I208" s="12">
        <f>IF($H208&gt;0,$H208,IFERROR($G208/Import_Mapping!$B$7,0))</f>
        <v/>
      </c>
    </row>
    <row r="209">
      <c r="A209" s="11" t="n">
        <v>46176</v>
      </c>
      <c r="B209" s="20" t="inlineStr">
        <is>
          <t>Randstad Retail BV</t>
        </is>
      </c>
      <c r="C209" s="20" t="inlineStr">
        <is>
          <t>NL</t>
        </is>
      </c>
      <c r="D209" s="20" t="inlineStr">
        <is>
          <t>Non-Food</t>
        </is>
      </c>
      <c r="E209" s="14" t="n">
        <v>6504</v>
      </c>
      <c r="F209" s="13" t="n">
        <v>81300</v>
      </c>
      <c r="G209" s="12" t="n">
        <v>43.36</v>
      </c>
      <c r="H209" s="12" t="n">
        <v>27.1</v>
      </c>
      <c r="I209" s="12">
        <f>IF($H209&gt;0,$H209,IFERROR($G209/Import_Mapping!$B$7,0))</f>
        <v/>
      </c>
    </row>
    <row r="210">
      <c r="A210" s="11" t="n">
        <v>46177</v>
      </c>
      <c r="B210" s="20" t="inlineStr">
        <is>
          <t>Elbe Handel GmbH</t>
        </is>
      </c>
      <c r="C210" s="20" t="inlineStr">
        <is>
          <t>DE-Nord</t>
        </is>
      </c>
      <c r="D210" s="20" t="inlineStr">
        <is>
          <t>Kuehlware</t>
        </is>
      </c>
      <c r="E210" s="14" t="n">
        <v>67488</v>
      </c>
      <c r="F210" s="13" t="n">
        <v>229459.2</v>
      </c>
      <c r="G210" s="12" t="n">
        <v>182.78</v>
      </c>
      <c r="H210" s="12" t="n">
        <v>140.6</v>
      </c>
      <c r="I210" s="12">
        <f>IF($H210&gt;0,$H210,IFERROR($G210/Import_Mapping!$B$7,0))</f>
        <v/>
      </c>
    </row>
    <row r="211">
      <c r="A211" s="11" t="n">
        <v>46178</v>
      </c>
      <c r="B211" s="20" t="inlineStr">
        <is>
          <t>Tirol Handel AG</t>
        </is>
      </c>
      <c r="C211" s="20" t="inlineStr">
        <is>
          <t>AT</t>
        </is>
      </c>
      <c r="D211" s="20" t="inlineStr">
        <is>
          <t>Non-Food</t>
        </is>
      </c>
      <c r="E211" s="14" t="n">
        <v>4776</v>
      </c>
      <c r="F211" s="13" t="n">
        <v>59700</v>
      </c>
      <c r="G211" s="12" t="n">
        <v>31.84</v>
      </c>
      <c r="H211" s="12" t="n">
        <v>19.9</v>
      </c>
      <c r="I211" s="12">
        <f>IF($H211&gt;0,$H211,IFERROR($G211/Import_Mapping!$B$7,0))</f>
        <v/>
      </c>
    </row>
    <row r="212">
      <c r="A212" s="11" t="n">
        <v>46178</v>
      </c>
      <c r="B212" s="20" t="inlineStr">
        <is>
          <t>Ruhr Frische GmbH</t>
        </is>
      </c>
      <c r="C212" s="20" t="inlineStr">
        <is>
          <t>DE-West</t>
        </is>
      </c>
      <c r="D212" s="20" t="inlineStr">
        <is>
          <t>Aktionsware</t>
        </is>
      </c>
      <c r="E212" s="14" t="n">
        <v>12348</v>
      </c>
      <c r="F212" s="13" t="n">
        <v>76557.60000000001</v>
      </c>
      <c r="G212" s="12" t="n">
        <v>51.45</v>
      </c>
      <c r="H212" s="12" t="n">
        <v>34.3</v>
      </c>
      <c r="I212" s="12">
        <f>IF($H212&gt;0,$H212,IFERROR($G212/Import_Mapping!$B$7,0))</f>
        <v/>
      </c>
    </row>
    <row r="213">
      <c r="A213" s="11" t="n">
        <v>46179</v>
      </c>
      <c r="B213" s="20" t="inlineStr">
        <is>
          <t>Tirol Handel AG</t>
        </is>
      </c>
      <c r="C213" s="20" t="inlineStr">
        <is>
          <t>AT</t>
        </is>
      </c>
      <c r="D213" s="20" t="inlineStr">
        <is>
          <t>Trockensortiment</t>
        </is>
      </c>
      <c r="E213" s="14" t="n">
        <v>32976</v>
      </c>
      <c r="F213" s="13" t="n">
        <v>61005.6</v>
      </c>
      <c r="G213" s="12" t="n">
        <v>66.41</v>
      </c>
      <c r="H213" s="12" t="n">
        <v>45.8</v>
      </c>
      <c r="I213" s="12">
        <f>IF($H213&gt;0,$H213,IFERROR($G213/Import_Mapping!$B$7,0))</f>
        <v/>
      </c>
    </row>
    <row r="214">
      <c r="A214" s="11" t="n">
        <v>46179</v>
      </c>
      <c r="B214" s="20" t="inlineStr">
        <is>
          <t>Sued Filialen KG</t>
        </is>
      </c>
      <c r="C214" s="20" t="inlineStr">
        <is>
          <t>DE-Sued</t>
        </is>
      </c>
      <c r="D214" s="20" t="inlineStr">
        <is>
          <t>Aktionsware</t>
        </is>
      </c>
      <c r="E214" s="14" t="n">
        <v>10908</v>
      </c>
      <c r="F214" s="13" t="n">
        <v>67629.60000000001</v>
      </c>
      <c r="G214" s="12" t="n">
        <v>45.45</v>
      </c>
      <c r="H214" s="12" t="n">
        <v>30.3</v>
      </c>
      <c r="I214" s="12">
        <f>IF($H214&gt;0,$H214,IFERROR($G214/Import_Mapping!$B$7,0))</f>
        <v/>
      </c>
    </row>
    <row r="215">
      <c r="A215" s="11" t="n">
        <v>46180</v>
      </c>
      <c r="B215" s="20" t="inlineStr">
        <is>
          <t>Mainpunkt Handel</t>
        </is>
      </c>
      <c r="C215" s="20" t="inlineStr">
        <is>
          <t>DE-Mitte</t>
        </is>
      </c>
      <c r="D215" s="20" t="inlineStr">
        <is>
          <t>Getraenke</t>
        </is>
      </c>
      <c r="E215" s="14" t="n">
        <v>236736</v>
      </c>
      <c r="F215" s="13" t="n">
        <v>224899.2</v>
      </c>
      <c r="G215" s="12" t="n">
        <v>382.23</v>
      </c>
      <c r="H215" s="12" t="n">
        <v>246.6</v>
      </c>
      <c r="I215" s="12">
        <f>IF($H215&gt;0,$H215,IFERROR($G215/Import_Mapping!$B$7,0))</f>
        <v/>
      </c>
    </row>
    <row r="216">
      <c r="A216" s="11" t="n">
        <v>46182</v>
      </c>
      <c r="B216" s="20" t="inlineStr">
        <is>
          <t>Austria Markt GmbH</t>
        </is>
      </c>
      <c r="C216" s="20" t="inlineStr">
        <is>
          <t>AT</t>
        </is>
      </c>
      <c r="D216" s="20" t="inlineStr">
        <is>
          <t>Aktionsware</t>
        </is>
      </c>
      <c r="E216" s="14" t="n">
        <v>3708</v>
      </c>
      <c r="F216" s="13" t="n">
        <v>22989.6</v>
      </c>
      <c r="G216" s="12" t="n">
        <v>15.45</v>
      </c>
      <c r="H216" s="12" t="n">
        <v>10.3</v>
      </c>
      <c r="I216" s="12">
        <f>IF($H216&gt;0,$H216,IFERROR($G216/Import_Mapping!$B$7,0))</f>
        <v/>
      </c>
    </row>
    <row r="217">
      <c r="A217" s="11" t="n">
        <v>46182</v>
      </c>
      <c r="B217" s="20" t="inlineStr">
        <is>
          <t>Hessen Vertrieb GmbH</t>
        </is>
      </c>
      <c r="C217" s="20" t="inlineStr">
        <is>
          <t>DE-Mitte</t>
        </is>
      </c>
      <c r="D217" s="20" t="inlineStr">
        <is>
          <t>Kuehlware</t>
        </is>
      </c>
      <c r="E217" s="14" t="n">
        <v>36432</v>
      </c>
      <c r="F217" s="13" t="n">
        <v>123868.8</v>
      </c>
      <c r="G217" s="12" t="n">
        <v>98.67</v>
      </c>
      <c r="H217" s="12" t="n">
        <v>75.90000000000001</v>
      </c>
      <c r="I217" s="12">
        <f>IF($H217&gt;0,$H217,IFERROR($G217/Import_Mapping!$B$7,0))</f>
        <v/>
      </c>
    </row>
    <row r="218">
      <c r="A218" s="11" t="n">
        <v>46182</v>
      </c>
      <c r="B218" s="20" t="inlineStr">
        <is>
          <t>Nordmarkt AG</t>
        </is>
      </c>
      <c r="C218" s="20" t="inlineStr">
        <is>
          <t>DE-Nord</t>
        </is>
      </c>
      <c r="D218" s="20" t="inlineStr">
        <is>
          <t>Aktionsware</t>
        </is>
      </c>
      <c r="E218" s="14" t="n">
        <v>8748</v>
      </c>
      <c r="F218" s="13" t="n">
        <v>54237.6</v>
      </c>
      <c r="G218" s="12" t="n">
        <v>36.45</v>
      </c>
      <c r="H218" s="12" t="n">
        <v>24.3</v>
      </c>
      <c r="I218" s="12">
        <f>IF($H218&gt;0,$H218,IFERROR($G218/Import_Mapping!$B$7,0))</f>
        <v/>
      </c>
    </row>
    <row r="219">
      <c r="A219" s="11" t="n">
        <v>46182</v>
      </c>
      <c r="B219" s="20" t="inlineStr">
        <is>
          <t>Alpenmarkt GmbH</t>
        </is>
      </c>
      <c r="C219" s="20" t="inlineStr">
        <is>
          <t>DE-Sued</t>
        </is>
      </c>
      <c r="D219" s="20" t="inlineStr">
        <is>
          <t>Non-Food</t>
        </is>
      </c>
      <c r="E219" s="14" t="n">
        <v>12024</v>
      </c>
      <c r="F219" s="13" t="n">
        <v>150300</v>
      </c>
      <c r="G219" s="12" t="n">
        <v>80.16</v>
      </c>
      <c r="H219" s="12" t="n">
        <v>50.1</v>
      </c>
      <c r="I219" s="12">
        <f>IF($H219&gt;0,$H219,IFERROR($G219/Import_Mapping!$B$7,0))</f>
        <v/>
      </c>
    </row>
    <row r="220">
      <c r="A220" s="11" t="n">
        <v>46183</v>
      </c>
      <c r="B220" s="20" t="inlineStr">
        <is>
          <t>Delta Foods BV</t>
        </is>
      </c>
      <c r="C220" s="20" t="inlineStr">
        <is>
          <t>NL</t>
        </is>
      </c>
      <c r="D220" s="20" t="inlineStr">
        <is>
          <t>Aktionsware</t>
        </is>
      </c>
      <c r="E220" s="14" t="n">
        <v>3528</v>
      </c>
      <c r="F220" s="13" t="n">
        <v>21873.6</v>
      </c>
      <c r="G220" s="12" t="n">
        <v>14.7</v>
      </c>
      <c r="H220" s="12" t="n">
        <v>9.800000000000001</v>
      </c>
      <c r="I220" s="12">
        <f>IF($H220&gt;0,$H220,IFERROR($G220/Import_Mapping!$B$7,0))</f>
        <v/>
      </c>
    </row>
    <row r="221">
      <c r="A221" s="11" t="n">
        <v>46183</v>
      </c>
      <c r="B221" s="20" t="inlineStr">
        <is>
          <t>Delta Foods BV</t>
        </is>
      </c>
      <c r="C221" s="20" t="inlineStr">
        <is>
          <t>NL</t>
        </is>
      </c>
      <c r="D221" s="20" t="inlineStr">
        <is>
          <t>Getraenke</t>
        </is>
      </c>
      <c r="E221" s="14" t="n">
        <v>81408</v>
      </c>
      <c r="F221" s="13" t="n">
        <v>77337.60000000001</v>
      </c>
      <c r="G221" s="12" t="n">
        <v>131.44</v>
      </c>
      <c r="H221" s="12" t="n">
        <v>84.8</v>
      </c>
      <c r="I221" s="12">
        <f>IF($H221&gt;0,$H221,IFERROR($G221/Import_Mapping!$B$7,0))</f>
        <v/>
      </c>
    </row>
    <row r="222">
      <c r="A222" s="11" t="n">
        <v>46183</v>
      </c>
      <c r="B222" s="20" t="inlineStr">
        <is>
          <t>Wisla Retail Sp.</t>
        </is>
      </c>
      <c r="C222" s="20" t="inlineStr">
        <is>
          <t>PL</t>
        </is>
      </c>
      <c r="D222" s="20" t="inlineStr">
        <is>
          <t>Trockensortiment</t>
        </is>
      </c>
      <c r="E222" s="14" t="n">
        <v>26928</v>
      </c>
      <c r="F222" s="13" t="n">
        <v>49816.8</v>
      </c>
      <c r="G222" s="12" t="n">
        <v>54.23</v>
      </c>
      <c r="H222" s="12" t="n">
        <v>37.4</v>
      </c>
      <c r="I222" s="12">
        <f>IF($H222&gt;0,$H222,IFERROR($G222/Import_Mapping!$B$7,0))</f>
        <v/>
      </c>
    </row>
    <row r="223">
      <c r="A223" s="11" t="n">
        <v>46184</v>
      </c>
      <c r="B223" s="20" t="inlineStr">
        <is>
          <t>Donau Handel AG</t>
        </is>
      </c>
      <c r="C223" s="20" t="inlineStr">
        <is>
          <t>DE-Sued</t>
        </is>
      </c>
      <c r="D223" s="20" t="inlineStr">
        <is>
          <t>Kuehlware</t>
        </is>
      </c>
      <c r="E223" s="14" t="n">
        <v>49680</v>
      </c>
      <c r="F223" s="13" t="n">
        <v>168912</v>
      </c>
      <c r="G223" s="12" t="n">
        <v>134.55</v>
      </c>
      <c r="H223" s="12" t="n">
        <v>103.5</v>
      </c>
      <c r="I223" s="12">
        <f>IF($H223&gt;0,$H223,IFERROR($G223/Import_Mapping!$B$7,0))</f>
        <v/>
      </c>
    </row>
    <row r="224">
      <c r="A224" s="11" t="n">
        <v>46184</v>
      </c>
      <c r="B224" s="20" t="inlineStr">
        <is>
          <t>Wisla Retail Sp.</t>
        </is>
      </c>
      <c r="C224" s="20" t="inlineStr">
        <is>
          <t>PL</t>
        </is>
      </c>
      <c r="D224" s="20" t="inlineStr">
        <is>
          <t>Getraenke</t>
        </is>
      </c>
      <c r="E224" s="14" t="n">
        <v>58656</v>
      </c>
      <c r="F224" s="13" t="n">
        <v>55723.2</v>
      </c>
      <c r="G224" s="12" t="n">
        <v>94.7</v>
      </c>
      <c r="H224" s="12" t="n">
        <v>61.1</v>
      </c>
      <c r="I224" s="12">
        <f>IF($H224&gt;0,$H224,IFERROR($G224/Import_Mapping!$B$7,0))</f>
        <v/>
      </c>
    </row>
    <row r="225">
      <c r="A225" s="11" t="n">
        <v>46185</v>
      </c>
      <c r="B225" s="20" t="inlineStr">
        <is>
          <t>Tirol Handel AG</t>
        </is>
      </c>
      <c r="C225" s="20" t="inlineStr">
        <is>
          <t>AT</t>
        </is>
      </c>
      <c r="D225" s="20" t="inlineStr">
        <is>
          <t>Getraenke</t>
        </is>
      </c>
      <c r="E225" s="14" t="n">
        <v>90624</v>
      </c>
      <c r="F225" s="13" t="n">
        <v>86092.8</v>
      </c>
      <c r="G225" s="12" t="n">
        <v>146.32</v>
      </c>
      <c r="H225" s="12" t="n">
        <v>94.40000000000001</v>
      </c>
      <c r="I225" s="12">
        <f>IF($H225&gt;0,$H225,IFERROR($G225/Import_Mapping!$B$7,0))</f>
        <v/>
      </c>
    </row>
    <row r="226">
      <c r="A226" s="11" t="n">
        <v>46186</v>
      </c>
      <c r="B226" s="20" t="inlineStr">
        <is>
          <t>Odra Handel Sp.</t>
        </is>
      </c>
      <c r="C226" s="20" t="inlineStr">
        <is>
          <t>PL</t>
        </is>
      </c>
      <c r="D226" s="20" t="inlineStr">
        <is>
          <t>Non-Food</t>
        </is>
      </c>
      <c r="E226" s="14" t="n">
        <v>13464</v>
      </c>
      <c r="F226" s="13" t="n">
        <v>168300</v>
      </c>
      <c r="G226" s="12" t="n">
        <v>89.76000000000001</v>
      </c>
      <c r="H226" s="12" t="n">
        <v>56.1</v>
      </c>
      <c r="I226" s="12">
        <f>IF($H226&gt;0,$H226,IFERROR($G226/Import_Mapping!$B$7,0))</f>
        <v/>
      </c>
    </row>
    <row r="227">
      <c r="A227" s="11" t="n">
        <v>46187</v>
      </c>
      <c r="B227" s="20" t="inlineStr">
        <is>
          <t>Kuestenlager KG</t>
        </is>
      </c>
      <c r="C227" s="20" t="inlineStr">
        <is>
          <t>DE-Nord</t>
        </is>
      </c>
      <c r="D227" s="20" t="inlineStr">
        <is>
          <t>Trockensortiment</t>
        </is>
      </c>
      <c r="E227" s="14" t="n">
        <v>140112</v>
      </c>
      <c r="F227" s="13" t="n">
        <v>259207.2</v>
      </c>
      <c r="G227" s="12" t="n">
        <v>282.17</v>
      </c>
      <c r="H227" s="12" t="n">
        <v>194.6</v>
      </c>
      <c r="I227" s="12">
        <f>IF($H227&gt;0,$H227,IFERROR($G227/Import_Mapping!$B$7,0))</f>
        <v/>
      </c>
    </row>
    <row r="228">
      <c r="A228" s="11" t="n">
        <v>46187</v>
      </c>
      <c r="B228" s="20" t="inlineStr">
        <is>
          <t>Rheinland Retail SE</t>
        </is>
      </c>
      <c r="C228" s="20" t="inlineStr">
        <is>
          <t>DE-West</t>
        </is>
      </c>
      <c r="D228" s="20" t="inlineStr">
        <is>
          <t>Kuehlware</t>
        </is>
      </c>
      <c r="E228" s="14" t="n">
        <v>52800</v>
      </c>
      <c r="F228" s="13" t="n">
        <v>179520</v>
      </c>
      <c r="G228" s="12" t="n">
        <v>143</v>
      </c>
      <c r="H228" s="12" t="n">
        <v>110</v>
      </c>
      <c r="I228" s="12">
        <f>IF($H228&gt;0,$H228,IFERROR($G228/Import_Mapping!$B$7,0))</f>
        <v/>
      </c>
    </row>
    <row r="229">
      <c r="A229" s="11" t="n">
        <v>46189</v>
      </c>
      <c r="B229" s="20" t="inlineStr">
        <is>
          <t>Westfilial AG</t>
        </is>
      </c>
      <c r="C229" s="20" t="inlineStr">
        <is>
          <t>DE-West</t>
        </is>
      </c>
      <c r="D229" s="20" t="inlineStr">
        <is>
          <t>Getraenke</t>
        </is>
      </c>
      <c r="E229" s="14" t="n">
        <v>333504</v>
      </c>
      <c r="F229" s="13" t="n">
        <v>316828.8</v>
      </c>
      <c r="G229" s="12" t="n">
        <v>538.47</v>
      </c>
      <c r="H229" s="12" t="n">
        <v>347.4</v>
      </c>
      <c r="I229" s="12">
        <f>IF($H229&gt;0,$H229,IFERROR($G229/Import_Mapping!$B$7,0))</f>
        <v/>
      </c>
    </row>
    <row r="230">
      <c r="A230" s="11" t="n">
        <v>46189</v>
      </c>
      <c r="B230" s="20" t="inlineStr">
        <is>
          <t>Randstad Retail BV</t>
        </is>
      </c>
      <c r="C230" s="20" t="inlineStr">
        <is>
          <t>NL</t>
        </is>
      </c>
      <c r="D230" s="20" t="inlineStr">
        <is>
          <t>Trockensortiment</t>
        </is>
      </c>
      <c r="E230" s="14" t="n">
        <v>51408</v>
      </c>
      <c r="F230" s="13" t="n">
        <v>95104.8</v>
      </c>
      <c r="G230" s="12" t="n">
        <v>103.53</v>
      </c>
      <c r="H230" s="12" t="n">
        <v>71.40000000000001</v>
      </c>
      <c r="I230" s="12">
        <f>IF($H230&gt;0,$H230,IFERROR($G230/Import_Mapping!$B$7,0))</f>
        <v/>
      </c>
    </row>
    <row r="231">
      <c r="A231" s="11" t="n">
        <v>46190</v>
      </c>
      <c r="B231" s="20" t="inlineStr">
        <is>
          <t>Spree Markt AG</t>
        </is>
      </c>
      <c r="C231" s="20" t="inlineStr">
        <is>
          <t>DE-Ost</t>
        </is>
      </c>
      <c r="D231" s="20" t="inlineStr">
        <is>
          <t>Getraenke</t>
        </is>
      </c>
      <c r="E231" s="14" t="n">
        <v>162432</v>
      </c>
      <c r="F231" s="13" t="n">
        <v>154310.4</v>
      </c>
      <c r="G231" s="12" t="n">
        <v>262.26</v>
      </c>
      <c r="H231" s="12" t="n">
        <v>169.2</v>
      </c>
      <c r="I231" s="12">
        <f>IF($H231&gt;0,$H231,IFERROR($G231/Import_Mapping!$B$7,0))</f>
        <v/>
      </c>
    </row>
    <row r="232">
      <c r="A232" s="11" t="n">
        <v>46190</v>
      </c>
      <c r="B232" s="20" t="inlineStr">
        <is>
          <t>Sachsen Handel GmbH</t>
        </is>
      </c>
      <c r="C232" s="20" t="inlineStr">
        <is>
          <t>DE-Ost</t>
        </is>
      </c>
      <c r="D232" s="20" t="inlineStr">
        <is>
          <t>Kuehlware</t>
        </is>
      </c>
      <c r="E232" s="14" t="n">
        <v>31488</v>
      </c>
      <c r="F232" s="13" t="n">
        <v>107059.2</v>
      </c>
      <c r="G232" s="12" t="n">
        <v>85.28</v>
      </c>
      <c r="H232" s="12" t="n">
        <v>65.59999999999999</v>
      </c>
      <c r="I232" s="12">
        <f>IF($H232&gt;0,$H232,IFERROR($G232/Import_Mapping!$B$7,0))</f>
        <v/>
      </c>
    </row>
    <row r="233">
      <c r="A233" s="11" t="n">
        <v>46190</v>
      </c>
      <c r="B233" s="20" t="inlineStr">
        <is>
          <t>Ruhr Frische GmbH</t>
        </is>
      </c>
      <c r="C233" s="20" t="inlineStr">
        <is>
          <t>DE-West</t>
        </is>
      </c>
      <c r="D233" s="20" t="inlineStr">
        <is>
          <t>Non-Food</t>
        </is>
      </c>
      <c r="E233" s="14" t="n">
        <v>16008</v>
      </c>
      <c r="F233" s="13" t="n">
        <v>200100</v>
      </c>
      <c r="G233" s="12" t="n">
        <v>106.72</v>
      </c>
      <c r="H233" s="12" t="n">
        <v>66.7</v>
      </c>
      <c r="I233" s="12">
        <f>IF($H233&gt;0,$H233,IFERROR($G233/Import_Mapping!$B$7,0))</f>
        <v/>
      </c>
    </row>
    <row r="234">
      <c r="A234" s="11" t="n">
        <v>46193</v>
      </c>
      <c r="B234" s="20" t="inlineStr">
        <is>
          <t>Odra Handel Sp.</t>
        </is>
      </c>
      <c r="C234" s="20" t="inlineStr">
        <is>
          <t>PL</t>
        </is>
      </c>
      <c r="D234" s="20" t="inlineStr">
        <is>
          <t>Kuehlware</t>
        </is>
      </c>
      <c r="E234" s="14" t="n">
        <v>7248</v>
      </c>
      <c r="F234" s="13" t="n">
        <v>24643.2</v>
      </c>
      <c r="G234" s="12" t="n">
        <v>19.63</v>
      </c>
      <c r="H234" s="12" t="n">
        <v>15.1</v>
      </c>
      <c r="I234" s="12">
        <f>IF($H234&gt;0,$H234,IFERROR($G234/Import_Mapping!$B$7,0))</f>
        <v/>
      </c>
    </row>
    <row r="235">
      <c r="A235" s="11" t="n">
        <v>46194</v>
      </c>
      <c r="B235" s="20" t="inlineStr">
        <is>
          <t>Mainpunkt Handel</t>
        </is>
      </c>
      <c r="C235" s="20" t="inlineStr">
        <is>
          <t>DE-Mitte</t>
        </is>
      </c>
      <c r="D235" s="20" t="inlineStr">
        <is>
          <t>Aktionsware</t>
        </is>
      </c>
      <c r="E235" s="14" t="n">
        <v>7128</v>
      </c>
      <c r="F235" s="13" t="n">
        <v>44193.6</v>
      </c>
      <c r="G235" s="12" t="n">
        <v>29.7</v>
      </c>
      <c r="H235" s="12" t="n">
        <v>19.8</v>
      </c>
      <c r="I235" s="12">
        <f>IF($H235&gt;0,$H235,IFERROR($G235/Import_Mapping!$B$7,0))</f>
        <v/>
      </c>
    </row>
    <row r="236">
      <c r="A236" s="11" t="n">
        <v>46194</v>
      </c>
      <c r="B236" s="20" t="inlineStr">
        <is>
          <t>Mainpunkt Handel</t>
        </is>
      </c>
      <c r="C236" s="20" t="inlineStr">
        <is>
          <t>DE-Mitte</t>
        </is>
      </c>
      <c r="D236" s="20" t="inlineStr">
        <is>
          <t>Non-Food</t>
        </is>
      </c>
      <c r="E236" s="14" t="n">
        <v>10560</v>
      </c>
      <c r="F236" s="13" t="n">
        <v>132000</v>
      </c>
      <c r="G236" s="12" t="n">
        <v>70.40000000000001</v>
      </c>
      <c r="H236" s="12" t="n">
        <v>44</v>
      </c>
      <c r="I236" s="12">
        <f>IF($H236&gt;0,$H236,IFERROR($G236/Import_Mapping!$B$7,0))</f>
        <v/>
      </c>
    </row>
    <row r="237">
      <c r="A237" s="11" t="n">
        <v>46194</v>
      </c>
      <c r="B237" s="20" t="inlineStr">
        <is>
          <t>Elbe Handel GmbH</t>
        </is>
      </c>
      <c r="C237" s="20" t="inlineStr">
        <is>
          <t>DE-Nord</t>
        </is>
      </c>
      <c r="D237" s="20" t="inlineStr">
        <is>
          <t>Non-Food</t>
        </is>
      </c>
      <c r="E237" s="14" t="n">
        <v>12312</v>
      </c>
      <c r="F237" s="13" t="n">
        <v>153900</v>
      </c>
      <c r="G237" s="12" t="n">
        <v>82.08</v>
      </c>
      <c r="H237" s="12" t="n">
        <v>51.3</v>
      </c>
      <c r="I237" s="12">
        <f>IF($H237&gt;0,$H237,IFERROR($G237/Import_Mapping!$B$7,0))</f>
        <v/>
      </c>
    </row>
    <row r="238">
      <c r="A238" s="11" t="n">
        <v>46194</v>
      </c>
      <c r="B238" s="20" t="inlineStr">
        <is>
          <t>Westfilial AG</t>
        </is>
      </c>
      <c r="C238" s="20" t="inlineStr">
        <is>
          <t>DE-West</t>
        </is>
      </c>
      <c r="D238" s="20" t="inlineStr">
        <is>
          <t>Trockensortiment</t>
        </is>
      </c>
      <c r="E238" s="14" t="n">
        <v>184752</v>
      </c>
      <c r="F238" s="13" t="n">
        <v>341791.2</v>
      </c>
      <c r="G238" s="12" t="n">
        <v>372.07</v>
      </c>
      <c r="H238" s="12" t="n">
        <v>256.6</v>
      </c>
      <c r="I238" s="12">
        <f>IF($H238&gt;0,$H238,IFERROR($G238/Import_Mapping!$B$7,0))</f>
        <v/>
      </c>
    </row>
    <row r="239">
      <c r="A239" s="11" t="n">
        <v>46196</v>
      </c>
      <c r="B239" s="20" t="inlineStr">
        <is>
          <t>Alpenmarkt GmbH</t>
        </is>
      </c>
      <c r="C239" s="20" t="inlineStr">
        <is>
          <t>DE-Sued</t>
        </is>
      </c>
      <c r="D239" s="20" t="inlineStr">
        <is>
          <t>Trockensortiment</t>
        </is>
      </c>
      <c r="E239" s="14" t="n">
        <v>148896</v>
      </c>
      <c r="F239" s="13" t="n">
        <v>275457.6</v>
      </c>
      <c r="G239" s="12" t="n">
        <v>299.86</v>
      </c>
      <c r="H239" s="12" t="n">
        <v>206.8</v>
      </c>
      <c r="I239" s="12">
        <f>IF($H239&gt;0,$H239,IFERROR($G239/Import_Mapping!$B$7,0))</f>
        <v/>
      </c>
    </row>
    <row r="240">
      <c r="A240" s="11" t="n">
        <v>46196</v>
      </c>
      <c r="B240" s="20" t="inlineStr">
        <is>
          <t>Delta Foods BV</t>
        </is>
      </c>
      <c r="C240" s="20" t="inlineStr">
        <is>
          <t>NL</t>
        </is>
      </c>
      <c r="D240" s="20" t="inlineStr">
        <is>
          <t>Kuehlware</t>
        </is>
      </c>
      <c r="E240" s="14" t="n">
        <v>23712</v>
      </c>
      <c r="F240" s="13" t="n">
        <v>80620.8</v>
      </c>
      <c r="G240" s="12" t="n">
        <v>64.22</v>
      </c>
      <c r="H240" s="12" t="n">
        <v>49.4</v>
      </c>
      <c r="I240" s="12">
        <f>IF($H240&gt;0,$H240,IFERROR($G240/Import_Mapping!$B$7,0))</f>
        <v/>
      </c>
    </row>
    <row r="241">
      <c r="A241" s="11" t="n">
        <v>46196</v>
      </c>
      <c r="B241" s="20" t="inlineStr">
        <is>
          <t>Wisla Retail Sp.</t>
        </is>
      </c>
      <c r="C241" s="20" t="inlineStr">
        <is>
          <t>PL</t>
        </is>
      </c>
      <c r="D241" s="20" t="inlineStr">
        <is>
          <t>Aktionsware</t>
        </is>
      </c>
      <c r="E241" s="14" t="n">
        <v>13608</v>
      </c>
      <c r="F241" s="13" t="n">
        <v>84369.60000000001</v>
      </c>
      <c r="G241" s="12" t="n">
        <v>56.7</v>
      </c>
      <c r="H241" s="12" t="n">
        <v>37.8</v>
      </c>
      <c r="I241" s="12">
        <f>IF($H241&gt;0,$H241,IFERROR($G241/Import_Mapping!$B$7,0))</f>
        <v/>
      </c>
    </row>
    <row r="242">
      <c r="A242" s="11" t="n">
        <v>46197</v>
      </c>
      <c r="B242" s="20" t="inlineStr">
        <is>
          <t>Austria Markt GmbH</t>
        </is>
      </c>
      <c r="C242" s="20" t="inlineStr">
        <is>
          <t>AT</t>
        </is>
      </c>
      <c r="D242" s="20" t="inlineStr">
        <is>
          <t>Kuehlware</t>
        </is>
      </c>
      <c r="E242" s="14" t="n">
        <v>14112</v>
      </c>
      <c r="F242" s="13" t="n">
        <v>47980.8</v>
      </c>
      <c r="G242" s="12" t="n">
        <v>38.22</v>
      </c>
      <c r="H242" s="12" t="n">
        <v>29.4</v>
      </c>
      <c r="I242" s="12">
        <f>IF($H242&gt;0,$H242,IFERROR($G242/Import_Mapping!$B$7,0))</f>
        <v/>
      </c>
    </row>
    <row r="243">
      <c r="A243" s="11" t="n">
        <v>46197</v>
      </c>
      <c r="B243" s="20" t="inlineStr">
        <is>
          <t>Spree Markt AG</t>
        </is>
      </c>
      <c r="C243" s="20" t="inlineStr">
        <is>
          <t>DE-Ost</t>
        </is>
      </c>
      <c r="D243" s="20" t="inlineStr">
        <is>
          <t>Trockensortiment</t>
        </is>
      </c>
      <c r="E243" s="14" t="n">
        <v>74880</v>
      </c>
      <c r="F243" s="13" t="n">
        <v>138528</v>
      </c>
      <c r="G243" s="12" t="n">
        <v>150.8</v>
      </c>
      <c r="H243" s="12" t="n">
        <v>104</v>
      </c>
      <c r="I243" s="12">
        <f>IF($H243&gt;0,$H243,IFERROR($G243/Import_Mapping!$B$7,0))</f>
        <v/>
      </c>
    </row>
    <row r="244">
      <c r="A244" s="11" t="n">
        <v>46197</v>
      </c>
      <c r="B244" s="20" t="inlineStr">
        <is>
          <t>Alpenmarkt GmbH</t>
        </is>
      </c>
      <c r="C244" s="20" t="inlineStr">
        <is>
          <t>DE-Sued</t>
        </is>
      </c>
      <c r="D244" s="20" t="inlineStr">
        <is>
          <t>Getraenke</t>
        </is>
      </c>
      <c r="E244" s="14" t="n">
        <v>314592</v>
      </c>
      <c r="F244" s="13" t="n">
        <v>298862.4</v>
      </c>
      <c r="G244" s="12" t="n">
        <v>507.94</v>
      </c>
      <c r="H244" s="12" t="n">
        <v>327.7</v>
      </c>
      <c r="I244" s="12">
        <f>IF($H244&gt;0,$H244,IFERROR($G244/Import_Mapping!$B$7,0))</f>
        <v/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D22"/>
  <sheetViews>
    <sheetView showGridLines="0" workbookViewId="0">
      <selection activeCell="A1" sqref="A1"/>
    </sheetView>
  </sheetViews>
  <sheetFormatPr baseColWidth="8" defaultRowHeight="15"/>
  <cols>
    <col width="30" customWidth="1" min="1" max="1"/>
    <col width="46" customWidth="1" min="2" max="2"/>
    <col width="46" customWidth="1" min="3" max="3"/>
    <col width="44" customWidth="1" min="4" max="4"/>
  </cols>
  <sheetData>
    <row r="1" ht="24" customHeight="1">
      <c r="A1" s="1" t="inlineStr">
        <is>
          <t>Import-Parameter und Spalten-Mapping</t>
        </is>
      </c>
    </row>
    <row r="2">
      <c r="A2" s="2" t="inlineStr">
        <is>
          <t>Die Power-Query-Abfragen lesen diese Tabelle. Trägt die Quelldatei andere Spaltennamen, wird nur die Spalte B bzw. C angepasst – nicht die Abfrage.</t>
        </is>
      </c>
    </row>
    <row r="4">
      <c r="A4" s="21" t="inlineStr">
        <is>
          <t>Quelldatei Historie (vollständiger Pfad)</t>
        </is>
      </c>
      <c r="B4" s="15" t="inlineStr"/>
      <c r="D4" s="3" t="inlineStr">
        <is>
          <t>Die Pfade werden von den Schaltflächen "Datei importieren" gefüllt. Bleibt der Pfad leer, arbeitet die Mappe mit den mitgelieferten Beispieldaten weiter.</t>
        </is>
      </c>
    </row>
    <row r="5">
      <c r="A5" s="21" t="inlineStr">
        <is>
          <t>Quelldatei Forecast (vollständiger Pfad)</t>
        </is>
      </c>
      <c r="B5" s="15" t="inlineStr"/>
    </row>
    <row r="6">
      <c r="A6" s="15" t="inlineStr">
        <is>
          <t>CSV-Trennzeichen</t>
        </is>
      </c>
      <c r="B6" s="15" t="inlineStr">
        <is>
          <t>;</t>
        </is>
      </c>
    </row>
    <row r="7">
      <c r="A7" s="21" t="inlineStr">
        <is>
          <t>m³ pro Palette (für Paletten-Äquivalent)</t>
        </is>
      </c>
      <c r="B7" s="22" t="n">
        <v>1.5</v>
      </c>
      <c r="D7" s="3" t="inlineStr">
        <is>
          <t>Wird für Zeilen ohne gemeldete Paletten verwendet: Paletten-Äquivalent = Transportvolumen / m³ pro Palette.</t>
        </is>
      </c>
    </row>
    <row r="8">
      <c r="A8" s="21" t="inlineStr">
        <is>
          <t>Name der Excel-Tabelle/des Blatts in der Quelldatei</t>
        </is>
      </c>
      <c r="B8" s="15" t="inlineStr"/>
    </row>
    <row r="11" ht="30" customHeight="1">
      <c r="A11" s="10" t="inlineStr">
        <is>
          <t>Zielfeld</t>
        </is>
      </c>
      <c r="B11" s="10" t="inlineStr">
        <is>
          <t>Quellspalte Historie</t>
        </is>
      </c>
      <c r="C11" s="10" t="inlineStr">
        <is>
          <t>Quellspalte Forecast</t>
        </is>
      </c>
      <c r="D11" s="10" t="inlineStr">
        <is>
          <t>Hinweis</t>
        </is>
      </c>
    </row>
    <row r="12">
      <c r="A12" s="20" t="inlineStr">
        <is>
          <t>Datum</t>
        </is>
      </c>
      <c r="B12" s="15" t="inlineStr">
        <is>
          <t>Buchungsdatum</t>
        </is>
      </c>
      <c r="C12" s="15" t="inlineStr">
        <is>
          <t>Planperiode</t>
        </is>
      </c>
      <c r="D12" s="20" t="inlineStr">
        <is>
          <t>Belegdatum bzw. Planperiode</t>
        </is>
      </c>
    </row>
    <row r="13">
      <c r="A13" s="20" t="inlineStr">
        <is>
          <t>Kunde</t>
        </is>
      </c>
      <c r="B13" s="15" t="inlineStr">
        <is>
          <t>Kunde_Name</t>
        </is>
      </c>
      <c r="C13" s="15" t="inlineStr">
        <is>
          <t>Kunde</t>
        </is>
      </c>
      <c r="D13" s="20" t="inlineStr">
        <is>
          <t>Kundenname oder -nummer</t>
        </is>
      </c>
    </row>
    <row r="14">
      <c r="A14" s="20" t="inlineStr">
        <is>
          <t>Land/Region</t>
        </is>
      </c>
      <c r="B14" s="15" t="inlineStr">
        <is>
          <t>Land_Region</t>
        </is>
      </c>
      <c r="C14" s="15" t="inlineStr">
        <is>
          <t>Vertriebsregion</t>
        </is>
      </c>
      <c r="D14" s="20" t="inlineStr">
        <is>
          <t>muss zu 'Region' in DC_Stammdaten passen</t>
        </is>
      </c>
    </row>
    <row r="15">
      <c r="A15" s="20" t="inlineStr">
        <is>
          <t>Produktkategorie</t>
        </is>
      </c>
      <c r="B15" s="15" t="inlineStr">
        <is>
          <t>Warengruppe</t>
        </is>
      </c>
      <c r="C15" s="15" t="inlineStr">
        <is>
          <t>Produktgruppe</t>
        </is>
      </c>
      <c r="D15" s="20" t="inlineStr">
        <is>
          <t>muss zu Zielreichweite passen</t>
        </is>
      </c>
    </row>
    <row r="16">
      <c r="A16" s="20" t="inlineStr">
        <is>
          <t>Menge (Stück)</t>
        </is>
      </c>
      <c r="B16" s="15" t="inlineStr">
        <is>
          <t>Menge_Stk</t>
        </is>
      </c>
      <c r="C16" s="15" t="inlineStr">
        <is>
          <t>Planmenge_Stk</t>
        </is>
      </c>
      <c r="D16" s="20" t="inlineStr">
        <is>
          <t>Absatzmenge in Stück</t>
        </is>
      </c>
    </row>
    <row r="17">
      <c r="A17" s="20" t="inlineStr">
        <is>
          <t>EUR-Umsatz</t>
        </is>
      </c>
      <c r="B17" s="15" t="inlineStr">
        <is>
          <t>Umsatz_EUR</t>
        </is>
      </c>
      <c r="C17" s="15" t="inlineStr">
        <is>
          <t>Planumsatz_EUR</t>
        </is>
      </c>
      <c r="D17" s="20" t="inlineStr">
        <is>
          <t>Umsatz in EUR</t>
        </is>
      </c>
    </row>
    <row r="18">
      <c r="A18" s="20" t="inlineStr">
        <is>
          <t>Transportvolumen</t>
        </is>
      </c>
      <c r="B18" s="15" t="inlineStr">
        <is>
          <t>Volumen_m3</t>
        </is>
      </c>
      <c r="C18" s="15" t="inlineStr">
        <is>
          <t>Planvolumen_m3</t>
        </is>
      </c>
      <c r="D18" s="20" t="inlineStr">
        <is>
          <t>Volumen in m³</t>
        </is>
      </c>
    </row>
    <row r="19">
      <c r="A19" s="20" t="inlineStr">
        <is>
          <t>Paletten</t>
        </is>
      </c>
      <c r="B19" s="15" t="inlineStr">
        <is>
          <t>Paletten_Anzahl</t>
        </is>
      </c>
      <c r="C19" s="15" t="inlineStr">
        <is>
          <t>Planpaletten</t>
        </is>
      </c>
      <c r="D19" s="20" t="inlineStr">
        <is>
          <t>gemeldete Paletten (optional)</t>
        </is>
      </c>
    </row>
    <row r="22">
      <c r="A22" s="3" t="inlineStr">
        <is>
          <t>Das Zielfeld "Paletten-Äquivalent" wird nicht gemappt, sondern berechnet.</t>
        </is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H19"/>
  <sheetViews>
    <sheetView showGridLines="0" workbookViewId="0">
      <selection activeCell="A1" sqref="A1"/>
    </sheetView>
  </sheetViews>
  <sheetFormatPr baseColWidth="8" defaultRowHeight="15"/>
  <cols>
    <col width="26" customWidth="1" min="1" max="1"/>
    <col width="20" customWidth="1" min="2" max="2"/>
    <col width="22" customWidth="1" min="3" max="3"/>
    <col width="22" customWidth="1" min="4" max="4"/>
    <col width="22" customWidth="1" min="5" max="5"/>
    <col width="22" customWidth="1" min="6" max="6"/>
    <col width="58" customWidth="1" min="8" max="8"/>
  </cols>
  <sheetData>
    <row r="1" ht="24" customHeight="1">
      <c r="A1" s="1" t="inlineStr">
        <is>
          <t>Zielreichweite und Ziel-Bestand je Produktkategorie</t>
        </is>
      </c>
    </row>
    <row r="2">
      <c r="A2" s="2" t="inlineStr">
        <is>
          <t>Ziel-Bestand = Ø Bedarf/Tag × Ziel-Reichweite. Die Bedarfsbasis ist umschaltbar zwischen Historie, Forecast und einem gewichteten Mix.</t>
        </is>
      </c>
    </row>
    <row r="4">
      <c r="A4" s="9" t="inlineStr">
        <is>
          <t>Steuerung der Bedarfsbasis</t>
        </is>
      </c>
    </row>
    <row r="5">
      <c r="A5" s="21" t="inlineStr">
        <is>
          <t>Bedarfsbasis</t>
        </is>
      </c>
      <c r="B5" s="15" t="inlineStr">
        <is>
          <t>Mix</t>
        </is>
      </c>
      <c r="H5" s="3" t="inlineStr">
        <is>
          <t>Ø Bedarf/Tag = Summe Paletten-Äquivalent der Kategorie geteilt durch die Anzahl Tage des jeweiligen Zeitraums (Annahme: durchgehender Bedarf über den gesamten Zeitraum).</t>
        </is>
      </c>
    </row>
    <row r="6">
      <c r="A6" s="21" t="inlineStr">
        <is>
          <t>Gewicht Historie (nur bei Mix)</t>
        </is>
      </c>
      <c r="B6" s="23" t="n">
        <v>0.6</v>
      </c>
    </row>
    <row r="7">
      <c r="A7" s="21" t="inlineStr">
        <is>
          <t>Gewicht Forecast (nur bei Mix)</t>
        </is>
      </c>
      <c r="B7" s="24">
        <f>1-$B$6</f>
        <v/>
      </c>
    </row>
    <row r="8">
      <c r="A8" s="21" t="inlineStr">
        <is>
          <t>Tage im Historie-Zeitraum</t>
        </is>
      </c>
      <c r="B8" s="14">
        <f>IF(COUNT(Import_Historie!$A$5:$A$5004)=0,0,MAX(Import_Historie!$A$5:$A$5004)-MIN(Import_Historie!$A$5:$A$5004)+1)</f>
        <v/>
      </c>
    </row>
    <row r="9">
      <c r="A9" s="21" t="inlineStr">
        <is>
          <t>Tage im Forecast-Zeitraum</t>
        </is>
      </c>
      <c r="B9" s="14">
        <f>IF(COUNT(Import_Forecast!$A$5:$A$5004)=0,0,MAX(Import_Forecast!$A$5:$A$5004)-MIN(Import_Forecast!$A$5:$A$5004)+1)</f>
        <v/>
      </c>
    </row>
    <row r="10">
      <c r="A10" s="21" t="inlineStr">
        <is>
          <t>Bewegungszeilen Historie / Forecast</t>
        </is>
      </c>
      <c r="B10" s="14">
        <f>COUNT(Import_Historie!$A$5:$A$5004)</f>
        <v/>
      </c>
      <c r="C10" s="14">
        <f>COUNT(Import_Forecast!$A$5:$A$5004)</f>
        <v/>
      </c>
    </row>
    <row r="12">
      <c r="A12" s="9" t="inlineStr">
        <is>
          <t>Ziel-Reichweite je Produktkategorie</t>
        </is>
      </c>
    </row>
    <row r="13" ht="30" customHeight="1">
      <c r="A13" s="10" t="inlineStr">
        <is>
          <t>Produktkategorie</t>
        </is>
      </c>
      <c r="B13" s="10" t="inlineStr">
        <is>
          <t>Ziel-Reichweite (Tage)</t>
        </is>
      </c>
      <c r="C13" s="10" t="inlineStr">
        <is>
          <t>Ø Bedarf/Tag Historie (Pal.)</t>
        </is>
      </c>
      <c r="D13" s="10" t="inlineStr">
        <is>
          <t>Ø Bedarf/Tag Forecast (Pal.)</t>
        </is>
      </c>
      <c r="E13" s="10" t="inlineStr">
        <is>
          <t>Ø Bedarf/Tag Basis (Pal.)</t>
        </is>
      </c>
      <c r="F13" s="10" t="inlineStr">
        <is>
          <t>Ziel-Bestand (Paletten)</t>
        </is>
      </c>
    </row>
    <row r="14">
      <c r="A14" s="15" t="inlineStr">
        <is>
          <t>Trockensortiment</t>
        </is>
      </c>
      <c r="B14" s="17" t="n">
        <v>21</v>
      </c>
      <c r="C14" s="12">
        <f>IFERROR(SUMIFS(Import_Historie!$I$5:$I$5004,Import_Historie!$D$5:$D$5004,$A14)/$B$8,0)</f>
        <v/>
      </c>
      <c r="D14" s="12">
        <f>IFERROR(SUMIFS(Import_Forecast!$I$5:$I$5004,Import_Forecast!$D$5:$D$5004,$A14)/$B$9,0)</f>
        <v/>
      </c>
      <c r="E14" s="12">
        <f>IF($B$5="Historie",$C14,IF($B$5="Forecast",$D14,$B$6*$C14+$B$7*$D14))</f>
        <v/>
      </c>
      <c r="F14" s="14">
        <f>ROUND($E14*$B14,0)</f>
        <v/>
      </c>
    </row>
    <row r="15">
      <c r="A15" s="15" t="inlineStr">
        <is>
          <t>Kuehlware</t>
        </is>
      </c>
      <c r="B15" s="17" t="n">
        <v>7</v>
      </c>
      <c r="C15" s="12">
        <f>IFERROR(SUMIFS(Import_Historie!$I$5:$I$5004,Import_Historie!$D$5:$D$5004,$A15)/$B$8,0)</f>
        <v/>
      </c>
      <c r="D15" s="12">
        <f>IFERROR(SUMIFS(Import_Forecast!$I$5:$I$5004,Import_Forecast!$D$5:$D$5004,$A15)/$B$9,0)</f>
        <v/>
      </c>
      <c r="E15" s="12">
        <f>IF($B$5="Historie",$C15,IF($B$5="Forecast",$D15,$B$6*$C15+$B$7*$D15))</f>
        <v/>
      </c>
      <c r="F15" s="14">
        <f>ROUND($E15*$B15,0)</f>
        <v/>
      </c>
    </row>
    <row r="16">
      <c r="A16" s="15" t="inlineStr">
        <is>
          <t>Getraenke</t>
        </is>
      </c>
      <c r="B16" s="17" t="n">
        <v>14</v>
      </c>
      <c r="C16" s="12">
        <f>IFERROR(SUMIFS(Import_Historie!$I$5:$I$5004,Import_Historie!$D$5:$D$5004,$A16)/$B$8,0)</f>
        <v/>
      </c>
      <c r="D16" s="12">
        <f>IFERROR(SUMIFS(Import_Forecast!$I$5:$I$5004,Import_Forecast!$D$5:$D$5004,$A16)/$B$9,0)</f>
        <v/>
      </c>
      <c r="E16" s="12">
        <f>IF($B$5="Historie",$C16,IF($B$5="Forecast",$D16,$B$6*$C16+$B$7*$D16))</f>
        <v/>
      </c>
      <c r="F16" s="14">
        <f>ROUND($E16*$B16,0)</f>
        <v/>
      </c>
    </row>
    <row r="17">
      <c r="A17" s="15" t="inlineStr">
        <is>
          <t>Non-Food</t>
        </is>
      </c>
      <c r="B17" s="17" t="n">
        <v>35</v>
      </c>
      <c r="C17" s="12">
        <f>IFERROR(SUMIFS(Import_Historie!$I$5:$I$5004,Import_Historie!$D$5:$D$5004,$A17)/$B$8,0)</f>
        <v/>
      </c>
      <c r="D17" s="12">
        <f>IFERROR(SUMIFS(Import_Forecast!$I$5:$I$5004,Import_Forecast!$D$5:$D$5004,$A17)/$B$9,0)</f>
        <v/>
      </c>
      <c r="E17" s="12">
        <f>IF($B$5="Historie",$C17,IF($B$5="Forecast",$D17,$B$6*$C17+$B$7*$D17))</f>
        <v/>
      </c>
      <c r="F17" s="14">
        <f>ROUND($E17*$B17,0)</f>
        <v/>
      </c>
    </row>
    <row r="18">
      <c r="A18" s="15" t="inlineStr">
        <is>
          <t>Aktionsware</t>
        </is>
      </c>
      <c r="B18" s="17" t="n">
        <v>10</v>
      </c>
      <c r="C18" s="12">
        <f>IFERROR(SUMIFS(Import_Historie!$I$5:$I$5004,Import_Historie!$D$5:$D$5004,$A18)/$B$8,0)</f>
        <v/>
      </c>
      <c r="D18" s="12">
        <f>IFERROR(SUMIFS(Import_Forecast!$I$5:$I$5004,Import_Forecast!$D$5:$D$5004,$A18)/$B$9,0)</f>
        <v/>
      </c>
      <c r="E18" s="12">
        <f>IF($B$5="Historie",$C18,IF($B$5="Forecast",$D18,$B$6*$C18+$B$7*$D18))</f>
        <v/>
      </c>
      <c r="F18" s="14">
        <f>ROUND($E18*$B18,0)</f>
        <v/>
      </c>
    </row>
    <row r="19">
      <c r="A19" s="21" t="inlineStr">
        <is>
          <t>Summe</t>
        </is>
      </c>
      <c r="E19" s="12">
        <f>SUM($E$14:$E$18)</f>
        <v/>
      </c>
      <c r="F19" s="14">
        <f>SUM($F$14:$F$18)</f>
        <v/>
      </c>
    </row>
  </sheetData>
  <conditionalFormatting sqref="F14:F18">
    <cfRule type="colorScale" priority="1">
      <colorScale>
        <cfvo type="min"/>
        <cfvo type="max"/>
        <color rgb="00DEEBF7"/>
        <color rgb="002E75B6"/>
      </colorScale>
    </cfRule>
  </conditionalFormatting>
  <dataValidations count="2">
    <dataValidation sqref="B5" showDropDown="0" showInputMessage="0" showErrorMessage="0" allowBlank="0" type="list">
      <formula1>"Historie,Forecast,Mix"</formula1>
    </dataValidation>
    <dataValidation sqref="B6" showDropDown="0" showInputMessage="0" showErrorMessage="0" allowBlank="0" error="Bitte einen Wert zwischen 0 % und 100 % eingeben." type="decimal" operator="between">
      <formula1>0</formula1>
      <formula2>1</formula2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U32"/>
  <sheetViews>
    <sheetView showGridLines="0" workbookViewId="0">
      <pane ySplit="19" topLeftCell="A20" activePane="bottomLeft" state="frozen"/>
      <selection pane="bottomLeft" activeCell="A1" sqref="A1"/>
    </sheetView>
  </sheetViews>
  <sheetFormatPr baseColWidth="8" defaultRowHeight="15"/>
  <cols>
    <col width="20" customWidth="1" min="1" max="1"/>
    <col width="16" customWidth="1" min="2" max="2"/>
    <col width="30" customWidth="1" min="3" max="3"/>
    <col width="14" customWidth="1" min="4" max="4"/>
    <col width="14" customWidth="1" min="5" max="5"/>
    <col width="16" customWidth="1" min="6" max="6"/>
    <col width="16" customWidth="1" min="7" max="7"/>
    <col width="14" customWidth="1" min="8" max="8"/>
    <col width="14" customWidth="1" min="9" max="9"/>
    <col width="15" customWidth="1" min="10" max="10"/>
    <col width="14" customWidth="1" min="11" max="11"/>
    <col width="15" customWidth="1" min="12" max="12"/>
    <col width="14" customWidth="1" min="13" max="13"/>
    <col width="14" customWidth="1" min="14" max="14"/>
    <col width="14" customWidth="1" min="15" max="15"/>
    <col width="15" customWidth="1" min="16" max="16"/>
    <col width="13" customWidth="1" min="17" max="17"/>
    <col width="8" customWidth="1" min="18" max="18"/>
    <col width="14" customWidth="1" min="19" max="19"/>
    <col width="14" customWidth="1" min="20" max="20"/>
    <col width="13" customWidth="1" min="21" max="21"/>
  </cols>
  <sheetData>
    <row r="1" ht="24" customHeight="1">
      <c r="A1" s="1" t="inlineStr">
        <is>
          <t>Simulation – Zuordnung Produktkategorie zu Distributionszentrum</t>
        </is>
      </c>
    </row>
    <row r="2">
      <c r="A2" s="2" t="inlineStr">
        <is>
          <t>Jeder Teil-Score steht in einer eigenen Spalte und ist damit nachvollziehbar. Der Gesamt-Score ist die gewichtete Summe der drei Teil-Scores.</t>
        </is>
      </c>
    </row>
    <row r="3">
      <c r="A3" s="9" t="inlineStr">
        <is>
          <t>Eingaben</t>
        </is>
      </c>
      <c r="F3" s="9" t="inlineStr">
        <is>
          <t>Bedarfsschwerpunkt der gewählten Kategorie</t>
        </is>
      </c>
    </row>
    <row r="4">
      <c r="A4" s="21" t="inlineStr">
        <is>
          <t>Produktkategorie</t>
        </is>
      </c>
      <c r="B4" s="15" t="inlineStr">
        <is>
          <t>Getraenke</t>
        </is>
      </c>
    </row>
    <row r="5" ht="30" customHeight="1">
      <c r="A5" s="21" t="inlineStr">
        <is>
          <t>Bedarfsbasis (aus Zielreichweite)</t>
        </is>
      </c>
      <c r="B5" s="25">
        <f>Zielreichweite!$B$5</f>
        <v/>
      </c>
      <c r="F5" s="10" t="inlineStr">
        <is>
          <t>Region</t>
        </is>
      </c>
      <c r="G5" s="10" t="inlineStr">
        <is>
          <t>Bedarf/Tag Historie (Pal.)</t>
        </is>
      </c>
      <c r="H5" s="10" t="inlineStr">
        <is>
          <t>Bedarf/Tag Forecast (Pal.)</t>
        </is>
      </c>
      <c r="I5" s="10" t="inlineStr">
        <is>
          <t>Bedarf/Tag Basis (Pal.)</t>
        </is>
      </c>
      <c r="J5" s="10" t="inlineStr">
        <is>
          <t>Latitude</t>
        </is>
      </c>
      <c r="K5" s="10" t="inlineStr">
        <is>
          <t>Longitude</t>
        </is>
      </c>
    </row>
    <row r="6">
      <c r="A6" s="21" t="inlineStr">
        <is>
          <t>Ziel-Reichweite (Tage)</t>
        </is>
      </c>
      <c r="B6" s="26">
        <f>IFERROR(INDEX(Zielreichweite!$B$14:$B$18,MATCH($B$4,Zielreichweite!$A$14:$A$18,0)),0)</f>
        <v/>
      </c>
      <c r="F6" s="25">
        <f>DC_Stammdaten!$M6</f>
        <v/>
      </c>
      <c r="G6" s="12">
        <f>IFERROR(SUMIFS(Import_Historie!$I$5:$I$5004,Import_Historie!$D$5:$D$5004,$B$4,Import_Historie!$C$5:$C$5004,$F6)/Zielreichweite!$B$8,0)</f>
        <v/>
      </c>
      <c r="H6" s="12">
        <f>IFERROR(SUMIFS(Import_Forecast!$I$5:$I$5004,Import_Forecast!$D$5:$D$5004,$B$4,Import_Forecast!$C$5:$C$5004,$F6)/Zielreichweite!$B$9,0)</f>
        <v/>
      </c>
      <c r="I6" s="12">
        <f>IF(Zielreichweite!$B$5="Historie",$G6,IF(Zielreichweite!$B$5="Forecast",$H6,Zielreichweite!$B$6*$G6+Zielreichweite!$B$7*$H6))</f>
        <v/>
      </c>
      <c r="J6" s="27">
        <f>DC_Stammdaten!$O6</f>
        <v/>
      </c>
      <c r="K6" s="27">
        <f>DC_Stammdaten!$P6</f>
        <v/>
      </c>
    </row>
    <row r="7">
      <c r="A7" s="21" t="inlineStr">
        <is>
          <t>Ø Bedarf/Tag (Paletten)</t>
        </is>
      </c>
      <c r="B7" s="28">
        <f>IFERROR(INDEX(Zielreichweite!$E$14:$E$18,MATCH($B$4,Zielreichweite!$A$14:$A$18,0)),0)</f>
        <v/>
      </c>
      <c r="F7" s="25">
        <f>DC_Stammdaten!$M7</f>
        <v/>
      </c>
      <c r="G7" s="12">
        <f>IFERROR(SUMIFS(Import_Historie!$I$5:$I$5004,Import_Historie!$D$5:$D$5004,$B$4,Import_Historie!$C$5:$C$5004,$F7)/Zielreichweite!$B$8,0)</f>
        <v/>
      </c>
      <c r="H7" s="12">
        <f>IFERROR(SUMIFS(Import_Forecast!$I$5:$I$5004,Import_Forecast!$D$5:$D$5004,$B$4,Import_Forecast!$C$5:$C$5004,$F7)/Zielreichweite!$B$9,0)</f>
        <v/>
      </c>
      <c r="I7" s="12">
        <f>IF(Zielreichweite!$B$5="Historie",$G7,IF(Zielreichweite!$B$5="Forecast",$H7,Zielreichweite!$B$6*$G7+Zielreichweite!$B$7*$H7))</f>
        <v/>
      </c>
      <c r="J7" s="27">
        <f>DC_Stammdaten!$O7</f>
        <v/>
      </c>
      <c r="K7" s="27">
        <f>DC_Stammdaten!$P7</f>
        <v/>
      </c>
    </row>
    <row r="8">
      <c r="A8" s="21" t="inlineStr">
        <is>
          <t>Ziel-Bestand (Paletten)</t>
        </is>
      </c>
      <c r="B8" s="26">
        <f>IFERROR(INDEX(Zielreichweite!$F$14:$F$18,MATCH($B$4,Zielreichweite!$A$14:$A$18,0)),0)</f>
        <v/>
      </c>
      <c r="F8" s="25">
        <f>DC_Stammdaten!$M8</f>
        <v/>
      </c>
      <c r="G8" s="12">
        <f>IFERROR(SUMIFS(Import_Historie!$I$5:$I$5004,Import_Historie!$D$5:$D$5004,$B$4,Import_Historie!$C$5:$C$5004,$F8)/Zielreichweite!$B$8,0)</f>
        <v/>
      </c>
      <c r="H8" s="12">
        <f>IFERROR(SUMIFS(Import_Forecast!$I$5:$I$5004,Import_Forecast!$D$5:$D$5004,$B$4,Import_Forecast!$C$5:$C$5004,$F8)/Zielreichweite!$B$9,0)</f>
        <v/>
      </c>
      <c r="I8" s="12">
        <f>IF(Zielreichweite!$B$5="Historie",$G8,IF(Zielreichweite!$B$5="Forecast",$H8,Zielreichweite!$B$6*$G8+Zielreichweite!$B$7*$H8))</f>
        <v/>
      </c>
      <c r="J8" s="27">
        <f>DC_Stammdaten!$O8</f>
        <v/>
      </c>
      <c r="K8" s="27">
        <f>DC_Stammdaten!$P8</f>
        <v/>
      </c>
    </row>
    <row r="9">
      <c r="F9" s="25">
        <f>DC_Stammdaten!$M9</f>
        <v/>
      </c>
      <c r="G9" s="12">
        <f>IFERROR(SUMIFS(Import_Historie!$I$5:$I$5004,Import_Historie!$D$5:$D$5004,$B$4,Import_Historie!$C$5:$C$5004,$F9)/Zielreichweite!$B$8,0)</f>
        <v/>
      </c>
      <c r="H9" s="12">
        <f>IFERROR(SUMIFS(Import_Forecast!$I$5:$I$5004,Import_Forecast!$D$5:$D$5004,$B$4,Import_Forecast!$C$5:$C$5004,$F9)/Zielreichweite!$B$9,0)</f>
        <v/>
      </c>
      <c r="I9" s="12">
        <f>IF(Zielreichweite!$B$5="Historie",$G9,IF(Zielreichweite!$B$5="Forecast",$H9,Zielreichweite!$B$6*$G9+Zielreichweite!$B$7*$H9))</f>
        <v/>
      </c>
      <c r="J9" s="27">
        <f>DC_Stammdaten!$O9</f>
        <v/>
      </c>
      <c r="K9" s="27">
        <f>DC_Stammdaten!$P9</f>
        <v/>
      </c>
    </row>
    <row r="10">
      <c r="A10" s="21" t="inlineStr">
        <is>
          <t>Gewichtung Kapazitätsauslastung</t>
        </is>
      </c>
      <c r="B10" s="23" t="n">
        <v>0.4</v>
      </c>
      <c r="F10" s="25">
        <f>DC_Stammdaten!$M10</f>
        <v/>
      </c>
      <c r="G10" s="12">
        <f>IFERROR(SUMIFS(Import_Historie!$I$5:$I$5004,Import_Historie!$D$5:$D$5004,$B$4,Import_Historie!$C$5:$C$5004,$F10)/Zielreichweite!$B$8,0)</f>
        <v/>
      </c>
      <c r="H10" s="12">
        <f>IFERROR(SUMIFS(Import_Forecast!$I$5:$I$5004,Import_Forecast!$D$5:$D$5004,$B$4,Import_Forecast!$C$5:$C$5004,$F10)/Zielreichweite!$B$9,0)</f>
        <v/>
      </c>
      <c r="I10" s="12">
        <f>IF(Zielreichweite!$B$5="Historie",$G10,IF(Zielreichweite!$B$5="Forecast",$H10,Zielreichweite!$B$6*$G10+Zielreichweite!$B$7*$H10))</f>
        <v/>
      </c>
      <c r="J10" s="27">
        <f>DC_Stammdaten!$O10</f>
        <v/>
      </c>
      <c r="K10" s="27">
        <f>DC_Stammdaten!$P10</f>
        <v/>
      </c>
    </row>
    <row r="11">
      <c r="A11" s="21" t="inlineStr">
        <is>
          <t>Gewichtung Transportkosten/Distanz</t>
        </is>
      </c>
      <c r="B11" s="23" t="n">
        <v>0.35</v>
      </c>
      <c r="F11" s="25">
        <f>DC_Stammdaten!$M11</f>
        <v/>
      </c>
      <c r="G11" s="12">
        <f>IFERROR(SUMIFS(Import_Historie!$I$5:$I$5004,Import_Historie!$D$5:$D$5004,$B$4,Import_Historie!$C$5:$C$5004,$F11)/Zielreichweite!$B$8,0)</f>
        <v/>
      </c>
      <c r="H11" s="12">
        <f>IFERROR(SUMIFS(Import_Forecast!$I$5:$I$5004,Import_Forecast!$D$5:$D$5004,$B$4,Import_Forecast!$C$5:$C$5004,$F11)/Zielreichweite!$B$9,0)</f>
        <v/>
      </c>
      <c r="I11" s="12">
        <f>IF(Zielreichweite!$B$5="Historie",$G11,IF(Zielreichweite!$B$5="Forecast",$H11,Zielreichweite!$B$6*$G11+Zielreichweite!$B$7*$H11))</f>
        <v/>
      </c>
      <c r="J11" s="27">
        <f>DC_Stammdaten!$O11</f>
        <v/>
      </c>
      <c r="K11" s="27">
        <f>DC_Stammdaten!$P11</f>
        <v/>
      </c>
    </row>
    <row r="12">
      <c r="A12" s="21" t="inlineStr">
        <is>
          <t>Gewichtung Zielreichweite-Einhaltung</t>
        </is>
      </c>
      <c r="B12" s="23" t="n">
        <v>0.25</v>
      </c>
      <c r="F12" s="25">
        <f>DC_Stammdaten!$M12</f>
        <v/>
      </c>
      <c r="G12" s="12">
        <f>IFERROR(SUMIFS(Import_Historie!$I$5:$I$5004,Import_Historie!$D$5:$D$5004,$B$4,Import_Historie!$C$5:$C$5004,$F12)/Zielreichweite!$B$8,0)</f>
        <v/>
      </c>
      <c r="H12" s="12">
        <f>IFERROR(SUMIFS(Import_Forecast!$I$5:$I$5004,Import_Forecast!$D$5:$D$5004,$B$4,Import_Forecast!$C$5:$C$5004,$F12)/Zielreichweite!$B$9,0)</f>
        <v/>
      </c>
      <c r="I12" s="12">
        <f>IF(Zielreichweite!$B$5="Historie",$G12,IF(Zielreichweite!$B$5="Forecast",$H12,Zielreichweite!$B$6*$G12+Zielreichweite!$B$7*$H12))</f>
        <v/>
      </c>
      <c r="J12" s="27">
        <f>DC_Stammdaten!$O12</f>
        <v/>
      </c>
      <c r="K12" s="27">
        <f>DC_Stammdaten!$P12</f>
        <v/>
      </c>
    </row>
    <row r="13">
      <c r="A13" s="21" t="inlineStr">
        <is>
          <t>Summe der Gewichtungen</t>
        </is>
      </c>
      <c r="B13" s="24">
        <f>SUM($B$10:$B$12)</f>
        <v/>
      </c>
      <c r="C13" s="29">
        <f>IF(ROUND($B$13,4)=1,"OK – Summe ergibt 100 %","FEHLER – die drei Gewichtungen müssen zusammen 100 % ergeben")</f>
        <v/>
      </c>
      <c r="F13" s="25">
        <f>DC_Stammdaten!$M13</f>
        <v/>
      </c>
      <c r="G13" s="12">
        <f>IFERROR(SUMIFS(Import_Historie!$I$5:$I$5004,Import_Historie!$D$5:$D$5004,$B$4,Import_Historie!$C$5:$C$5004,$F13)/Zielreichweite!$B$8,0)</f>
        <v/>
      </c>
      <c r="H13" s="12">
        <f>IFERROR(SUMIFS(Import_Forecast!$I$5:$I$5004,Import_Forecast!$D$5:$D$5004,$B$4,Import_Forecast!$C$5:$C$5004,$F13)/Zielreichweite!$B$9,0)</f>
        <v/>
      </c>
      <c r="I13" s="12">
        <f>IF(Zielreichweite!$B$5="Historie",$G13,IF(Zielreichweite!$B$5="Forecast",$H13,Zielreichweite!$B$6*$G13+Zielreichweite!$B$7*$H13))</f>
        <v/>
      </c>
      <c r="J13" s="27">
        <f>DC_Stammdaten!$O13</f>
        <v/>
      </c>
      <c r="K13" s="27">
        <f>DC_Stammdaten!$P13</f>
        <v/>
      </c>
    </row>
    <row r="15">
      <c r="A15" s="21" t="inlineStr">
        <is>
          <t>Zuordnungsmodus</t>
        </is>
      </c>
      <c r="B15" s="15" t="inlineStr">
        <is>
          <t>Splitting auf mehrere DCs</t>
        </is>
      </c>
      <c r="F15" s="21" t="inlineStr">
        <is>
          <t>Summe / Schwerpunkt</t>
        </is>
      </c>
      <c r="I15" s="12">
        <f>SUM($I$6:$I$13)</f>
        <v/>
      </c>
      <c r="J15" s="30">
        <f>IFERROR(SUMPRODUCT($I$6:$I$13,$J$6:$J$13)/$I$15,0)</f>
        <v/>
      </c>
      <c r="K15" s="30">
        <f>IFERROR(SUMPRODUCT($I$6:$I$13,$K$6:$K$13)/$I$15,0)</f>
        <v/>
      </c>
    </row>
    <row r="16">
      <c r="A16" s="21" t="inlineStr">
        <is>
          <t>max. Anzahl DCs bei Splitting</t>
        </is>
      </c>
      <c r="B16" s="31" t="n">
        <v>3</v>
      </c>
    </row>
    <row r="18">
      <c r="A18" s="9" t="inlineStr">
        <is>
          <t>Bewertung je Distributionszentrum</t>
        </is>
      </c>
    </row>
    <row r="19" ht="46" customHeight="1">
      <c r="A19" s="10" t="inlineStr">
        <is>
          <t>DC-Name</t>
        </is>
      </c>
      <c r="B19" s="10" t="inlineStr">
        <is>
          <t>aktiv</t>
        </is>
      </c>
      <c r="C19" s="10" t="inlineStr">
        <is>
          <t>Kapazität (Pal.)</t>
        </is>
      </c>
      <c r="D19" s="10" t="inlineStr">
        <is>
          <t>Vorbelegung (Pal.)</t>
        </is>
      </c>
      <c r="E19" s="10" t="inlineStr">
        <is>
          <t>Ziel-Bestand Kategorie (Pal.)</t>
        </is>
      </c>
      <c r="F19" s="10" t="inlineStr">
        <is>
          <t>Auslastung nach Zuordnung</t>
        </is>
      </c>
      <c r="G19" s="10" t="inlineStr">
        <is>
          <t>Kapazitäts-Score (roh)</t>
        </is>
      </c>
      <c r="H19" s="10" t="inlineStr">
        <is>
          <t>Distanz zum Bedarfs-schwerpunkt (km)</t>
        </is>
      </c>
      <c r="I19" s="10" t="inlineStr">
        <is>
          <t>Transportkosten (€/Pal.)</t>
        </is>
      </c>
      <c r="J19" s="10" t="inlineStr">
        <is>
          <t>Transport-Score (roh = –Kosten)</t>
        </is>
      </c>
      <c r="K19" s="10" t="inlineStr">
        <is>
          <t>erreichbarer Bestand (Pal.)</t>
        </is>
      </c>
      <c r="L19" s="10" t="inlineStr">
        <is>
          <t>Reichweiten-Score (roh)</t>
        </is>
      </c>
      <c r="M19" s="10" t="inlineStr">
        <is>
          <t>Teil-Score Kapazität (0–1)</t>
        </is>
      </c>
      <c r="N19" s="10" t="inlineStr">
        <is>
          <t>Teil-Score Transport (0–1)</t>
        </is>
      </c>
      <c r="O19" s="10" t="inlineStr">
        <is>
          <t>Teil-Score Reichweite (0–1)</t>
        </is>
      </c>
      <c r="P19" s="10" t="inlineStr">
        <is>
          <t>Gesamt-Score (gewichtet)</t>
        </is>
      </c>
      <c r="Q19" s="10" t="inlineStr">
        <is>
          <t>Sortier-schlüssel</t>
        </is>
      </c>
      <c r="R19" s="10" t="inlineStr">
        <is>
          <t>Rang</t>
        </is>
      </c>
      <c r="S19" s="10" t="inlineStr">
        <is>
          <t>Score für Splitting</t>
        </is>
      </c>
      <c r="T19" s="10" t="inlineStr">
        <is>
          <t>empfohlener Anteil</t>
        </is>
      </c>
      <c r="U19" s="10" t="inlineStr">
        <is>
          <t>Empfehlung</t>
        </is>
      </c>
    </row>
    <row r="20">
      <c r="A20" s="25">
        <f>IF(DC_Stammdaten!$A6="","",DC_Stammdaten!$A6)</f>
        <v/>
      </c>
      <c r="B20" s="25">
        <f>IF($A20="","",DC_Stammdaten!$J6)</f>
        <v/>
      </c>
      <c r="C20" s="26">
        <f>IF($A20="","",DC_Stammdaten!$E6)</f>
        <v/>
      </c>
      <c r="D20" s="26">
        <f>IF($A20="","",DC_Stammdaten!$I6)</f>
        <v/>
      </c>
      <c r="E20" s="26">
        <f>IF($A20="","",$B$8)</f>
        <v/>
      </c>
      <c r="F20" s="24">
        <f>IF(OR($A20="",$B20&lt;&gt;"Ja"),"",IFERROR(($D20+$E20)/$C20,0))</f>
        <v/>
      </c>
      <c r="G20" s="32">
        <f>IF(OR($A20="",$B20&lt;&gt;"Ja"),"",1-$F20)</f>
        <v/>
      </c>
      <c r="H20" s="14">
        <f>IF(OR($A20="",$B20&lt;&gt;"Ja"),"",ROUND(6371*ACOS(MIN(1,COS(RADIANS(DC_Stammdaten!$C6))*COS(RADIANS($J$15))*COS(RADIANS($K$15)-RADIANS(DC_Stammdaten!$D6))+SIN(RADIANS(DC_Stammdaten!$C6))*SIN(RADIANS($J$15)))),0))</f>
        <v/>
      </c>
      <c r="I20" s="13">
        <f>IF(OR($A20="",$B20&lt;&gt;"Ja"),"",DC_Stammdaten!$G6+DC_Stammdaten!$H6*$H20)</f>
        <v/>
      </c>
      <c r="J20" s="12">
        <f>IF(OR($A20="",$B20&lt;&gt;"Ja"),"",-$I20)</f>
        <v/>
      </c>
      <c r="K20" s="14">
        <f>IF(OR($A20="",$B20&lt;&gt;"Ja"),"",MIN($E20,MAX(0,$C20-$D20)))</f>
        <v/>
      </c>
      <c r="L20" s="32">
        <f>IF(OR($A20="",$B20&lt;&gt;"Ja"),"",IFERROR(1-ABS($E20-$K20)/$E20,0))</f>
        <v/>
      </c>
      <c r="M20" s="32">
        <f>IF(OR($A20="",$B20&lt;&gt;"Ja"),"",IFERROR(($G20-MIN($G$20:$G$25))/(MAX($G$20:$G$25)-MIN($G$20:$G$25)),1))</f>
        <v/>
      </c>
      <c r="N20" s="32">
        <f>IF(OR($A20="",$B20&lt;&gt;"Ja"),"",IFERROR(($J20-MIN($J$20:$J$25))/(MAX($J$20:$J$25)-MIN($J$20:$J$25)),1))</f>
        <v/>
      </c>
      <c r="O20" s="32">
        <f>IF(OR($A20="",$B20&lt;&gt;"Ja"),"",IFERROR(($L20-MIN($L$20:$L$25))/(MAX($L$20:$L$25)-MIN($L$20:$L$25)),1))</f>
        <v/>
      </c>
      <c r="P20" s="32">
        <f>IF(OR($A20="",$B20&lt;&gt;"Ja"),"",$B$10*$M20+$B$11*$N20+$B$12*$O20)</f>
        <v/>
      </c>
      <c r="Q20" s="33">
        <f>IF(OR($A20="",$B20&lt;&gt;"Ja"),-1,$P20-ROW()/1000000)</f>
        <v/>
      </c>
      <c r="R20" s="14">
        <f>IF(OR($A20="",$B20&lt;&gt;"Ja"),"",SUMPRODUCT(($Q$20:$Q$25&gt;$Q20)*1)+1)</f>
        <v/>
      </c>
      <c r="S20" s="32">
        <f>IF(OR($A20="",$B20&lt;&gt;"Ja"),0,IF($R20&lt;=$B$16,MAX(0,$P20),0))</f>
        <v/>
      </c>
      <c r="T20" s="24">
        <f>IF(OR($A20="",$B20&lt;&gt;"Ja"),"",IF($B$15="Alleinzuordnung",IF($R20=1,1,0),IFERROR($S20/SUM($S$20:$S$25),0)))</f>
        <v/>
      </c>
      <c r="U20" s="20">
        <f>IF(OR($A20="",$B20&lt;&gt;"Ja"),"",IF($B$15="Alleinzuordnung",IF($R20=1,"JA","nein"),IF($T20&gt;0,"anteilig","nein")))</f>
        <v/>
      </c>
    </row>
    <row r="21">
      <c r="A21" s="25">
        <f>IF(DC_Stammdaten!$A7="","",DC_Stammdaten!$A7)</f>
        <v/>
      </c>
      <c r="B21" s="25">
        <f>IF($A21="","",DC_Stammdaten!$J7)</f>
        <v/>
      </c>
      <c r="C21" s="26">
        <f>IF($A21="","",DC_Stammdaten!$E7)</f>
        <v/>
      </c>
      <c r="D21" s="26">
        <f>IF($A21="","",DC_Stammdaten!$I7)</f>
        <v/>
      </c>
      <c r="E21" s="26">
        <f>IF($A21="","",$B$8)</f>
        <v/>
      </c>
      <c r="F21" s="24">
        <f>IF(OR($A21="",$B21&lt;&gt;"Ja"),"",IFERROR(($D21+$E21)/$C21,0))</f>
        <v/>
      </c>
      <c r="G21" s="32">
        <f>IF(OR($A21="",$B21&lt;&gt;"Ja"),"",1-$F21)</f>
        <v/>
      </c>
      <c r="H21" s="14">
        <f>IF(OR($A21="",$B21&lt;&gt;"Ja"),"",ROUND(6371*ACOS(MIN(1,COS(RADIANS(DC_Stammdaten!$C7))*COS(RADIANS($J$15))*COS(RADIANS($K$15)-RADIANS(DC_Stammdaten!$D7))+SIN(RADIANS(DC_Stammdaten!$C7))*SIN(RADIANS($J$15)))),0))</f>
        <v/>
      </c>
      <c r="I21" s="13">
        <f>IF(OR($A21="",$B21&lt;&gt;"Ja"),"",DC_Stammdaten!$G7+DC_Stammdaten!$H7*$H21)</f>
        <v/>
      </c>
      <c r="J21" s="12">
        <f>IF(OR($A21="",$B21&lt;&gt;"Ja"),"",-$I21)</f>
        <v/>
      </c>
      <c r="K21" s="14">
        <f>IF(OR($A21="",$B21&lt;&gt;"Ja"),"",MIN($E21,MAX(0,$C21-$D21)))</f>
        <v/>
      </c>
      <c r="L21" s="32">
        <f>IF(OR($A21="",$B21&lt;&gt;"Ja"),"",IFERROR(1-ABS($E21-$K21)/$E21,0))</f>
        <v/>
      </c>
      <c r="M21" s="32">
        <f>IF(OR($A21="",$B21&lt;&gt;"Ja"),"",IFERROR(($G21-MIN($G$20:$G$25))/(MAX($G$20:$G$25)-MIN($G$20:$G$25)),1))</f>
        <v/>
      </c>
      <c r="N21" s="32">
        <f>IF(OR($A21="",$B21&lt;&gt;"Ja"),"",IFERROR(($J21-MIN($J$20:$J$25))/(MAX($J$20:$J$25)-MIN($J$20:$J$25)),1))</f>
        <v/>
      </c>
      <c r="O21" s="32">
        <f>IF(OR($A21="",$B21&lt;&gt;"Ja"),"",IFERROR(($L21-MIN($L$20:$L$25))/(MAX($L$20:$L$25)-MIN($L$20:$L$25)),1))</f>
        <v/>
      </c>
      <c r="P21" s="32">
        <f>IF(OR($A21="",$B21&lt;&gt;"Ja"),"",$B$10*$M21+$B$11*$N21+$B$12*$O21)</f>
        <v/>
      </c>
      <c r="Q21" s="33">
        <f>IF(OR($A21="",$B21&lt;&gt;"Ja"),-1,$P21-ROW()/1000000)</f>
        <v/>
      </c>
      <c r="R21" s="14">
        <f>IF(OR($A21="",$B21&lt;&gt;"Ja"),"",SUMPRODUCT(($Q$20:$Q$25&gt;$Q21)*1)+1)</f>
        <v/>
      </c>
      <c r="S21" s="32">
        <f>IF(OR($A21="",$B21&lt;&gt;"Ja"),0,IF($R21&lt;=$B$16,MAX(0,$P21),0))</f>
        <v/>
      </c>
      <c r="T21" s="24">
        <f>IF(OR($A21="",$B21&lt;&gt;"Ja"),"",IF($B$15="Alleinzuordnung",IF($R21=1,1,0),IFERROR($S21/SUM($S$20:$S$25),0)))</f>
        <v/>
      </c>
      <c r="U21" s="20">
        <f>IF(OR($A21="",$B21&lt;&gt;"Ja"),"",IF($B$15="Alleinzuordnung",IF($R21=1,"JA","nein"),IF($T21&gt;0,"anteilig","nein")))</f>
        <v/>
      </c>
    </row>
    <row r="22">
      <c r="A22" s="25">
        <f>IF(DC_Stammdaten!$A8="","",DC_Stammdaten!$A8)</f>
        <v/>
      </c>
      <c r="B22" s="25">
        <f>IF($A22="","",DC_Stammdaten!$J8)</f>
        <v/>
      </c>
      <c r="C22" s="26">
        <f>IF($A22="","",DC_Stammdaten!$E8)</f>
        <v/>
      </c>
      <c r="D22" s="26">
        <f>IF($A22="","",DC_Stammdaten!$I8)</f>
        <v/>
      </c>
      <c r="E22" s="26">
        <f>IF($A22="","",$B$8)</f>
        <v/>
      </c>
      <c r="F22" s="24">
        <f>IF(OR($A22="",$B22&lt;&gt;"Ja"),"",IFERROR(($D22+$E22)/$C22,0))</f>
        <v/>
      </c>
      <c r="G22" s="32">
        <f>IF(OR($A22="",$B22&lt;&gt;"Ja"),"",1-$F22)</f>
        <v/>
      </c>
      <c r="H22" s="14">
        <f>IF(OR($A22="",$B22&lt;&gt;"Ja"),"",ROUND(6371*ACOS(MIN(1,COS(RADIANS(DC_Stammdaten!$C8))*COS(RADIANS($J$15))*COS(RADIANS($K$15)-RADIANS(DC_Stammdaten!$D8))+SIN(RADIANS(DC_Stammdaten!$C8))*SIN(RADIANS($J$15)))),0))</f>
        <v/>
      </c>
      <c r="I22" s="13">
        <f>IF(OR($A22="",$B22&lt;&gt;"Ja"),"",DC_Stammdaten!$G8+DC_Stammdaten!$H8*$H22)</f>
        <v/>
      </c>
      <c r="J22" s="12">
        <f>IF(OR($A22="",$B22&lt;&gt;"Ja"),"",-$I22)</f>
        <v/>
      </c>
      <c r="K22" s="14">
        <f>IF(OR($A22="",$B22&lt;&gt;"Ja"),"",MIN($E22,MAX(0,$C22-$D22)))</f>
        <v/>
      </c>
      <c r="L22" s="32">
        <f>IF(OR($A22="",$B22&lt;&gt;"Ja"),"",IFERROR(1-ABS($E22-$K22)/$E22,0))</f>
        <v/>
      </c>
      <c r="M22" s="32">
        <f>IF(OR($A22="",$B22&lt;&gt;"Ja"),"",IFERROR(($G22-MIN($G$20:$G$25))/(MAX($G$20:$G$25)-MIN($G$20:$G$25)),1))</f>
        <v/>
      </c>
      <c r="N22" s="32">
        <f>IF(OR($A22="",$B22&lt;&gt;"Ja"),"",IFERROR(($J22-MIN($J$20:$J$25))/(MAX($J$20:$J$25)-MIN($J$20:$J$25)),1))</f>
        <v/>
      </c>
      <c r="O22" s="32">
        <f>IF(OR($A22="",$B22&lt;&gt;"Ja"),"",IFERROR(($L22-MIN($L$20:$L$25))/(MAX($L$20:$L$25)-MIN($L$20:$L$25)),1))</f>
        <v/>
      </c>
      <c r="P22" s="32">
        <f>IF(OR($A22="",$B22&lt;&gt;"Ja"),"",$B$10*$M22+$B$11*$N22+$B$12*$O22)</f>
        <v/>
      </c>
      <c r="Q22" s="33">
        <f>IF(OR($A22="",$B22&lt;&gt;"Ja"),-1,$P22-ROW()/1000000)</f>
        <v/>
      </c>
      <c r="R22" s="14">
        <f>IF(OR($A22="",$B22&lt;&gt;"Ja"),"",SUMPRODUCT(($Q$20:$Q$25&gt;$Q22)*1)+1)</f>
        <v/>
      </c>
      <c r="S22" s="32">
        <f>IF(OR($A22="",$B22&lt;&gt;"Ja"),0,IF($R22&lt;=$B$16,MAX(0,$P22),0))</f>
        <v/>
      </c>
      <c r="T22" s="24">
        <f>IF(OR($A22="",$B22&lt;&gt;"Ja"),"",IF($B$15="Alleinzuordnung",IF($R22=1,1,0),IFERROR($S22/SUM($S$20:$S$25),0)))</f>
        <v/>
      </c>
      <c r="U22" s="20">
        <f>IF(OR($A22="",$B22&lt;&gt;"Ja"),"",IF($B$15="Alleinzuordnung",IF($R22=1,"JA","nein"),IF($T22&gt;0,"anteilig","nein")))</f>
        <v/>
      </c>
    </row>
    <row r="23">
      <c r="A23" s="25">
        <f>IF(DC_Stammdaten!$A9="","",DC_Stammdaten!$A9)</f>
        <v/>
      </c>
      <c r="B23" s="25">
        <f>IF($A23="","",DC_Stammdaten!$J9)</f>
        <v/>
      </c>
      <c r="C23" s="26">
        <f>IF($A23="","",DC_Stammdaten!$E9)</f>
        <v/>
      </c>
      <c r="D23" s="26">
        <f>IF($A23="","",DC_Stammdaten!$I9)</f>
        <v/>
      </c>
      <c r="E23" s="26">
        <f>IF($A23="","",$B$8)</f>
        <v/>
      </c>
      <c r="F23" s="24">
        <f>IF(OR($A23="",$B23&lt;&gt;"Ja"),"",IFERROR(($D23+$E23)/$C23,0))</f>
        <v/>
      </c>
      <c r="G23" s="32">
        <f>IF(OR($A23="",$B23&lt;&gt;"Ja"),"",1-$F23)</f>
        <v/>
      </c>
      <c r="H23" s="14">
        <f>IF(OR($A23="",$B23&lt;&gt;"Ja"),"",ROUND(6371*ACOS(MIN(1,COS(RADIANS(DC_Stammdaten!$C9))*COS(RADIANS($J$15))*COS(RADIANS($K$15)-RADIANS(DC_Stammdaten!$D9))+SIN(RADIANS(DC_Stammdaten!$C9))*SIN(RADIANS($J$15)))),0))</f>
        <v/>
      </c>
      <c r="I23" s="13">
        <f>IF(OR($A23="",$B23&lt;&gt;"Ja"),"",DC_Stammdaten!$G9+DC_Stammdaten!$H9*$H23)</f>
        <v/>
      </c>
      <c r="J23" s="12">
        <f>IF(OR($A23="",$B23&lt;&gt;"Ja"),"",-$I23)</f>
        <v/>
      </c>
      <c r="K23" s="14">
        <f>IF(OR($A23="",$B23&lt;&gt;"Ja"),"",MIN($E23,MAX(0,$C23-$D23)))</f>
        <v/>
      </c>
      <c r="L23" s="32">
        <f>IF(OR($A23="",$B23&lt;&gt;"Ja"),"",IFERROR(1-ABS($E23-$K23)/$E23,0))</f>
        <v/>
      </c>
      <c r="M23" s="32">
        <f>IF(OR($A23="",$B23&lt;&gt;"Ja"),"",IFERROR(($G23-MIN($G$20:$G$25))/(MAX($G$20:$G$25)-MIN($G$20:$G$25)),1))</f>
        <v/>
      </c>
      <c r="N23" s="32">
        <f>IF(OR($A23="",$B23&lt;&gt;"Ja"),"",IFERROR(($J23-MIN($J$20:$J$25))/(MAX($J$20:$J$25)-MIN($J$20:$J$25)),1))</f>
        <v/>
      </c>
      <c r="O23" s="32">
        <f>IF(OR($A23="",$B23&lt;&gt;"Ja"),"",IFERROR(($L23-MIN($L$20:$L$25))/(MAX($L$20:$L$25)-MIN($L$20:$L$25)),1))</f>
        <v/>
      </c>
      <c r="P23" s="32">
        <f>IF(OR($A23="",$B23&lt;&gt;"Ja"),"",$B$10*$M23+$B$11*$N23+$B$12*$O23)</f>
        <v/>
      </c>
      <c r="Q23" s="33">
        <f>IF(OR($A23="",$B23&lt;&gt;"Ja"),-1,$P23-ROW()/1000000)</f>
        <v/>
      </c>
      <c r="R23" s="14">
        <f>IF(OR($A23="",$B23&lt;&gt;"Ja"),"",SUMPRODUCT(($Q$20:$Q$25&gt;$Q23)*1)+1)</f>
        <v/>
      </c>
      <c r="S23" s="32">
        <f>IF(OR($A23="",$B23&lt;&gt;"Ja"),0,IF($R23&lt;=$B$16,MAX(0,$P23),0))</f>
        <v/>
      </c>
      <c r="T23" s="24">
        <f>IF(OR($A23="",$B23&lt;&gt;"Ja"),"",IF($B$15="Alleinzuordnung",IF($R23=1,1,0),IFERROR($S23/SUM($S$20:$S$25),0)))</f>
        <v/>
      </c>
      <c r="U23" s="20">
        <f>IF(OR($A23="",$B23&lt;&gt;"Ja"),"",IF($B$15="Alleinzuordnung",IF($R23=1,"JA","nein"),IF($T23&gt;0,"anteilig","nein")))</f>
        <v/>
      </c>
    </row>
    <row r="24">
      <c r="A24" s="25">
        <f>IF(DC_Stammdaten!$A10="","",DC_Stammdaten!$A10)</f>
        <v/>
      </c>
      <c r="B24" s="25">
        <f>IF($A24="","",DC_Stammdaten!$J10)</f>
        <v/>
      </c>
      <c r="C24" s="26">
        <f>IF($A24="","",DC_Stammdaten!$E10)</f>
        <v/>
      </c>
      <c r="D24" s="26">
        <f>IF($A24="","",DC_Stammdaten!$I10)</f>
        <v/>
      </c>
      <c r="E24" s="26">
        <f>IF($A24="","",$B$8)</f>
        <v/>
      </c>
      <c r="F24" s="24">
        <f>IF(OR($A24="",$B24&lt;&gt;"Ja"),"",IFERROR(($D24+$E24)/$C24,0))</f>
        <v/>
      </c>
      <c r="G24" s="32">
        <f>IF(OR($A24="",$B24&lt;&gt;"Ja"),"",1-$F24)</f>
        <v/>
      </c>
      <c r="H24" s="14">
        <f>IF(OR($A24="",$B24&lt;&gt;"Ja"),"",ROUND(6371*ACOS(MIN(1,COS(RADIANS(DC_Stammdaten!$C10))*COS(RADIANS($J$15))*COS(RADIANS($K$15)-RADIANS(DC_Stammdaten!$D10))+SIN(RADIANS(DC_Stammdaten!$C10))*SIN(RADIANS($J$15)))),0))</f>
        <v/>
      </c>
      <c r="I24" s="13">
        <f>IF(OR($A24="",$B24&lt;&gt;"Ja"),"",DC_Stammdaten!$G10+DC_Stammdaten!$H10*$H24)</f>
        <v/>
      </c>
      <c r="J24" s="12">
        <f>IF(OR($A24="",$B24&lt;&gt;"Ja"),"",-$I24)</f>
        <v/>
      </c>
      <c r="K24" s="14">
        <f>IF(OR($A24="",$B24&lt;&gt;"Ja"),"",MIN($E24,MAX(0,$C24-$D24)))</f>
        <v/>
      </c>
      <c r="L24" s="32">
        <f>IF(OR($A24="",$B24&lt;&gt;"Ja"),"",IFERROR(1-ABS($E24-$K24)/$E24,0))</f>
        <v/>
      </c>
      <c r="M24" s="32">
        <f>IF(OR($A24="",$B24&lt;&gt;"Ja"),"",IFERROR(($G24-MIN($G$20:$G$25))/(MAX($G$20:$G$25)-MIN($G$20:$G$25)),1))</f>
        <v/>
      </c>
      <c r="N24" s="32">
        <f>IF(OR($A24="",$B24&lt;&gt;"Ja"),"",IFERROR(($J24-MIN($J$20:$J$25))/(MAX($J$20:$J$25)-MIN($J$20:$J$25)),1))</f>
        <v/>
      </c>
      <c r="O24" s="32">
        <f>IF(OR($A24="",$B24&lt;&gt;"Ja"),"",IFERROR(($L24-MIN($L$20:$L$25))/(MAX($L$20:$L$25)-MIN($L$20:$L$25)),1))</f>
        <v/>
      </c>
      <c r="P24" s="32">
        <f>IF(OR($A24="",$B24&lt;&gt;"Ja"),"",$B$10*$M24+$B$11*$N24+$B$12*$O24)</f>
        <v/>
      </c>
      <c r="Q24" s="33">
        <f>IF(OR($A24="",$B24&lt;&gt;"Ja"),-1,$P24-ROW()/1000000)</f>
        <v/>
      </c>
      <c r="R24" s="14">
        <f>IF(OR($A24="",$B24&lt;&gt;"Ja"),"",SUMPRODUCT(($Q$20:$Q$25&gt;$Q24)*1)+1)</f>
        <v/>
      </c>
      <c r="S24" s="32">
        <f>IF(OR($A24="",$B24&lt;&gt;"Ja"),0,IF($R24&lt;=$B$16,MAX(0,$P24),0))</f>
        <v/>
      </c>
      <c r="T24" s="24">
        <f>IF(OR($A24="",$B24&lt;&gt;"Ja"),"",IF($B$15="Alleinzuordnung",IF($R24=1,1,0),IFERROR($S24/SUM($S$20:$S$25),0)))</f>
        <v/>
      </c>
      <c r="U24" s="20">
        <f>IF(OR($A24="",$B24&lt;&gt;"Ja"),"",IF($B$15="Alleinzuordnung",IF($R24=1,"JA","nein"),IF($T24&gt;0,"anteilig","nein")))</f>
        <v/>
      </c>
    </row>
    <row r="25">
      <c r="A25" s="25">
        <f>IF(DC_Stammdaten!$A11="","",DC_Stammdaten!$A11)</f>
        <v/>
      </c>
      <c r="B25" s="25">
        <f>IF($A25="","",DC_Stammdaten!$J11)</f>
        <v/>
      </c>
      <c r="C25" s="26">
        <f>IF($A25="","",DC_Stammdaten!$E11)</f>
        <v/>
      </c>
      <c r="D25" s="26">
        <f>IF($A25="","",DC_Stammdaten!$I11)</f>
        <v/>
      </c>
      <c r="E25" s="26">
        <f>IF($A25="","",$B$8)</f>
        <v/>
      </c>
      <c r="F25" s="24">
        <f>IF(OR($A25="",$B25&lt;&gt;"Ja"),"",IFERROR(($D25+$E25)/$C25,0))</f>
        <v/>
      </c>
      <c r="G25" s="32">
        <f>IF(OR($A25="",$B25&lt;&gt;"Ja"),"",1-$F25)</f>
        <v/>
      </c>
      <c r="H25" s="14">
        <f>IF(OR($A25="",$B25&lt;&gt;"Ja"),"",ROUND(6371*ACOS(MIN(1,COS(RADIANS(DC_Stammdaten!$C11))*COS(RADIANS($J$15))*COS(RADIANS($K$15)-RADIANS(DC_Stammdaten!$D11))+SIN(RADIANS(DC_Stammdaten!$C11))*SIN(RADIANS($J$15)))),0))</f>
        <v/>
      </c>
      <c r="I25" s="13">
        <f>IF(OR($A25="",$B25&lt;&gt;"Ja"),"",DC_Stammdaten!$G11+DC_Stammdaten!$H11*$H25)</f>
        <v/>
      </c>
      <c r="J25" s="12">
        <f>IF(OR($A25="",$B25&lt;&gt;"Ja"),"",-$I25)</f>
        <v/>
      </c>
      <c r="K25" s="14">
        <f>IF(OR($A25="",$B25&lt;&gt;"Ja"),"",MIN($E25,MAX(0,$C25-$D25)))</f>
        <v/>
      </c>
      <c r="L25" s="32">
        <f>IF(OR($A25="",$B25&lt;&gt;"Ja"),"",IFERROR(1-ABS($E25-$K25)/$E25,0))</f>
        <v/>
      </c>
      <c r="M25" s="32">
        <f>IF(OR($A25="",$B25&lt;&gt;"Ja"),"",IFERROR(($G25-MIN($G$20:$G$25))/(MAX($G$20:$G$25)-MIN($G$20:$G$25)),1))</f>
        <v/>
      </c>
      <c r="N25" s="32">
        <f>IF(OR($A25="",$B25&lt;&gt;"Ja"),"",IFERROR(($J25-MIN($J$20:$J$25))/(MAX($J$20:$J$25)-MIN($J$20:$J$25)),1))</f>
        <v/>
      </c>
      <c r="O25" s="32">
        <f>IF(OR($A25="",$B25&lt;&gt;"Ja"),"",IFERROR(($L25-MIN($L$20:$L$25))/(MAX($L$20:$L$25)-MIN($L$20:$L$25)),1))</f>
        <v/>
      </c>
      <c r="P25" s="32">
        <f>IF(OR($A25="",$B25&lt;&gt;"Ja"),"",$B$10*$M25+$B$11*$N25+$B$12*$O25)</f>
        <v/>
      </c>
      <c r="Q25" s="33">
        <f>IF(OR($A25="",$B25&lt;&gt;"Ja"),-1,$P25-ROW()/1000000)</f>
        <v/>
      </c>
      <c r="R25" s="14">
        <f>IF(OR($A25="",$B25&lt;&gt;"Ja"),"",SUMPRODUCT(($Q$20:$Q$25&gt;$Q25)*1)+1)</f>
        <v/>
      </c>
      <c r="S25" s="32">
        <f>IF(OR($A25="",$B25&lt;&gt;"Ja"),0,IF($R25&lt;=$B$16,MAX(0,$P25),0))</f>
        <v/>
      </c>
      <c r="T25" s="24">
        <f>IF(OR($A25="",$B25&lt;&gt;"Ja"),"",IF($B$15="Alleinzuordnung",IF($R25=1,1,0),IFERROR($S25/SUM($S$20:$S$25),0)))</f>
        <v/>
      </c>
      <c r="U25" s="20">
        <f>IF(OR($A25="",$B25&lt;&gt;"Ja"),"",IF($B$15="Alleinzuordnung",IF($R25=1,"JA","nein"),IF($T25&gt;0,"anteilig","nein")))</f>
        <v/>
      </c>
    </row>
    <row r="27">
      <c r="A27" s="9" t="inlineStr">
        <is>
          <t>Ergebnis</t>
        </is>
      </c>
    </row>
    <row r="28" ht="30" customHeight="1">
      <c r="A28" s="8">
        <f>IF($B$15="Alleinzuordnung","Empfehlung: "&amp;$B$30&amp;"   (Gesamt-Score "&amp;TEXT($D$30,"0.000")&amp;")","Empfehlung Splitting: "&amp;$B$30&amp;" "&amp;TEXT($C$30,"0 %")&amp;IF($C$31=0,""," | "&amp;$B$31&amp;" "&amp;TEXT($C$31,"0 %"))&amp;IF($C$32=0,""," | "&amp;$B$32&amp;" "&amp;TEXT($C$32,"0 %")))</f>
        <v/>
      </c>
      <c r="B28" s="8" t="n"/>
      <c r="C28" s="8" t="n"/>
      <c r="D28" s="8" t="n"/>
      <c r="E28" s="8" t="n"/>
      <c r="F28" s="8" t="n"/>
      <c r="G28" s="8" t="n"/>
      <c r="H28" s="8" t="n"/>
      <c r="I28" s="8" t="n"/>
      <c r="J28" s="8" t="n"/>
      <c r="K28" s="8" t="n"/>
      <c r="L28" s="8" t="n"/>
      <c r="M28" s="8" t="n"/>
      <c r="N28" s="8" t="n"/>
      <c r="O28" s="8" t="n"/>
      <c r="P28" s="8" t="n"/>
      <c r="Q28" s="8" t="n"/>
      <c r="R28" s="8" t="n"/>
      <c r="S28" s="8" t="n"/>
      <c r="T28" s="8" t="n"/>
      <c r="U28" s="8" t="n"/>
    </row>
    <row r="29">
      <c r="A29" s="3" t="inlineStr">
        <is>
          <t>Rangfolge (Hilfszeilen für die Ergebniszeile)</t>
        </is>
      </c>
    </row>
    <row r="30">
      <c r="A30" s="21" t="inlineStr">
        <is>
          <t>Rang 1</t>
        </is>
      </c>
      <c r="B30" s="20">
        <f>IFERROR(INDEX($A$20:$A$25,MATCH(1,$R$20:$R$25,0)),"")</f>
        <v/>
      </c>
      <c r="C30" s="24">
        <f>IFERROR(INDEX($T$20:$T$25,MATCH(1,$R$20:$R$25,0)),0)</f>
        <v/>
      </c>
      <c r="D30" s="32">
        <f>IFERROR(INDEX($P$20:$P$25,MATCH(1,$R$20:$R$25,0)),0)</f>
        <v/>
      </c>
    </row>
    <row r="31">
      <c r="A31" s="21" t="inlineStr">
        <is>
          <t>Rang 2</t>
        </is>
      </c>
      <c r="B31" s="20">
        <f>IFERROR(INDEX($A$20:$A$25,MATCH(2,$R$20:$R$25,0)),"")</f>
        <v/>
      </c>
      <c r="C31" s="24">
        <f>IFERROR(INDEX($T$20:$T$25,MATCH(2,$R$20:$R$25,0)),0)</f>
        <v/>
      </c>
      <c r="D31" s="32">
        <f>IFERROR(INDEX($P$20:$P$25,MATCH(2,$R$20:$R$25,0)),0)</f>
        <v/>
      </c>
    </row>
    <row r="32">
      <c r="A32" s="21" t="inlineStr">
        <is>
          <t>Rang 3</t>
        </is>
      </c>
      <c r="B32" s="20">
        <f>IFERROR(INDEX($A$20:$A$25,MATCH(3,$R$20:$R$25,0)),"")</f>
        <v/>
      </c>
      <c r="C32" s="24">
        <f>IFERROR(INDEX($T$20:$T$25,MATCH(3,$R$20:$R$25,0)),0)</f>
        <v/>
      </c>
      <c r="D32" s="32">
        <f>IFERROR(INDEX($P$20:$P$25,MATCH(3,$R$20:$R$25,0)),0)</f>
        <v/>
      </c>
    </row>
  </sheetData>
  <mergeCells count="1">
    <mergeCell ref="A28:U28"/>
  </mergeCells>
  <conditionalFormatting sqref="B13">
    <cfRule type="expression" priority="1" dxfId="0">
      <formula>ROUND($B$13,4)&lt;&gt;1</formula>
    </cfRule>
  </conditionalFormatting>
  <conditionalFormatting sqref="M20:M25">
    <cfRule type="colorScale" priority="2">
      <colorScale>
        <cfvo type="num" val="0"/>
        <cfvo type="num" val="0.5"/>
        <cfvo type="num" val="1"/>
        <color rgb="00F8696B"/>
        <color rgb="00FFEB84"/>
        <color rgb="0063BE7B"/>
      </colorScale>
    </cfRule>
  </conditionalFormatting>
  <conditionalFormatting sqref="N20:N25">
    <cfRule type="colorScale" priority="3">
      <colorScale>
        <cfvo type="num" val="0"/>
        <cfvo type="num" val="0.5"/>
        <cfvo type="num" val="1"/>
        <color rgb="00F8696B"/>
        <color rgb="00FFEB84"/>
        <color rgb="0063BE7B"/>
      </colorScale>
    </cfRule>
  </conditionalFormatting>
  <conditionalFormatting sqref="O20:O25">
    <cfRule type="colorScale" priority="4">
      <colorScale>
        <cfvo type="num" val="0"/>
        <cfvo type="num" val="0.5"/>
        <cfvo type="num" val="1"/>
        <color rgb="00F8696B"/>
        <color rgb="00FFEB84"/>
        <color rgb="0063BE7B"/>
      </colorScale>
    </cfRule>
  </conditionalFormatting>
  <conditionalFormatting sqref="P20:P25">
    <cfRule type="colorScale" priority="5">
      <colorScale>
        <cfvo type="num" val="0"/>
        <cfvo type="num" val="0.5"/>
        <cfvo type="num" val="1"/>
        <color rgb="00F8696B"/>
        <color rgb="00FFEB84"/>
        <color rgb="0063BE7B"/>
      </colorScale>
    </cfRule>
  </conditionalFormatting>
  <conditionalFormatting sqref="T20:T25">
    <cfRule type="dataBar" priority="6">
      <dataBar>
        <cfvo type="num" val="0"/>
        <cfvo type="num" val="1"/>
        <color rgb="002E75B6"/>
      </dataBar>
    </cfRule>
  </conditionalFormatting>
  <conditionalFormatting sqref="F20:F25">
    <cfRule type="colorScale" priority="7">
      <colorScale>
        <cfvo type="num" val="0"/>
        <cfvo type="num" val="0.9"/>
        <cfvo type="num" val="1.2"/>
        <color rgb="0063BE7B"/>
        <color rgb="00FFEB84"/>
        <color rgb="00F8696B"/>
      </colorScale>
    </cfRule>
  </conditionalFormatting>
  <dataValidations count="4">
    <dataValidation sqref="B4" showDropDown="0" showInputMessage="0" showErrorMessage="0" allowBlank="0" type="list">
      <formula1>=Zielreichweite!$A$14:$A$18</formula1>
    </dataValidation>
    <dataValidation sqref="B10:B12" showDropDown="0" showInputMessage="0" showErrorMessage="0" allowBlank="0" errorTitle="Ungültige Gewichtung" error="Zulässig sind Werte von 0 % bis 100 %." type="decimal" operator="between">
      <formula1>0</formula1>
      <formula2>1</formula2>
    </dataValidation>
    <dataValidation sqref="B15" showDropDown="0" showInputMessage="0" showErrorMessage="0" allowBlank="0" type="list">
      <formula1>"Alleinzuordnung,Splitting auf mehrere DCs"</formula1>
    </dataValidation>
    <dataValidation sqref="B16" showDropDown="0" showInputMessage="0" showErrorMessage="0" allowBlank="0" type="whole" operator="between">
      <formula1>1</formula1>
      <formula2>25</formula2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Y6"/>
  <sheetViews>
    <sheetView showGridLines="0" workbookViewId="0">
      <pane ySplit="6" topLeftCell="A7" activePane="bottomLeft" state="frozen"/>
      <selection pane="bottomLeft" activeCell="A1" sqref="A1"/>
    </sheetView>
  </sheetViews>
  <sheetFormatPr baseColWidth="8" defaultRowHeight="15"/>
  <cols>
    <col width="24" customWidth="1" min="1" max="1"/>
    <col width="17" customWidth="1" min="2" max="2"/>
    <col width="18" customWidth="1" min="3" max="3"/>
    <col width="12" customWidth="1" min="4" max="4"/>
    <col width="12" customWidth="1" min="5" max="5"/>
    <col width="12" customWidth="1" min="6" max="6"/>
    <col width="12" customWidth="1" min="7" max="7"/>
    <col width="22" customWidth="1" min="8" max="8"/>
    <col width="13" customWidth="1" min="9" max="9"/>
    <col width="13" customWidth="1" min="10" max="10"/>
    <col width="13" customWidth="1" min="11" max="11"/>
    <col width="16" customWidth="1" min="12" max="12"/>
    <col width="11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</cols>
  <sheetData>
    <row r="1" ht="24" customHeight="1">
      <c r="A1" s="1" t="inlineStr">
        <is>
          <t>Szenario-Vergleich</t>
        </is>
      </c>
    </row>
    <row r="2">
      <c r="A2" s="2" t="inlineStr">
        <is>
          <t>Die Schaltfläche "Szenario speichern" schreibt den aktuellen Stand als Werte-Snapshot (ohne Formeln) in die nächste freie Zeile.</t>
        </is>
      </c>
    </row>
    <row r="4">
      <c r="A4" s="3" t="inlineStr">
        <is>
          <t>Die Spaltenköpfe der Score- und Anteilsspalten werden beim Speichern automatisch mit den aktuellen DC-Namen beschriftet.</t>
        </is>
      </c>
    </row>
    <row r="6" ht="42" customHeight="1">
      <c r="A6" s="10" t="inlineStr">
        <is>
          <t>Szenarioname</t>
        </is>
      </c>
      <c r="B6" s="10" t="inlineStr">
        <is>
          <t>Zeitstempel</t>
        </is>
      </c>
      <c r="C6" s="10" t="inlineStr">
        <is>
          <t>Produktkategorie</t>
        </is>
      </c>
      <c r="D6" s="10" t="inlineStr">
        <is>
          <t>Bedarfsbasis</t>
        </is>
      </c>
      <c r="E6" s="10" t="inlineStr">
        <is>
          <t>Gewicht Kapazität</t>
        </is>
      </c>
      <c r="F6" s="10" t="inlineStr">
        <is>
          <t>Gewicht Transport</t>
        </is>
      </c>
      <c r="G6" s="10" t="inlineStr">
        <is>
          <t>Gewicht Reichweite</t>
        </is>
      </c>
      <c r="H6" s="10" t="inlineStr">
        <is>
          <t>Zuordnungsmodus</t>
        </is>
      </c>
      <c r="I6" s="10" t="inlineStr">
        <is>
          <t>Ziel-Reichweite (Tage)</t>
        </is>
      </c>
      <c r="J6" s="10" t="inlineStr">
        <is>
          <t>Ø Bedarf/Tag (Pal.)</t>
        </is>
      </c>
      <c r="K6" s="10" t="inlineStr">
        <is>
          <t>Ziel-Bestand (Pal.)</t>
        </is>
      </c>
      <c r="L6" s="10" t="inlineStr">
        <is>
          <t>Empfehlung (DC)</t>
        </is>
      </c>
      <c r="M6" s="10" t="inlineStr">
        <is>
          <t>bester Score</t>
        </is>
      </c>
      <c r="N6" s="10" t="inlineStr">
        <is>
          <t>Score DC 1</t>
        </is>
      </c>
      <c r="O6" s="10" t="inlineStr">
        <is>
          <t>Score DC 2</t>
        </is>
      </c>
      <c r="P6" s="10" t="inlineStr">
        <is>
          <t>Score DC 3</t>
        </is>
      </c>
      <c r="Q6" s="10" t="inlineStr">
        <is>
          <t>Score DC 4</t>
        </is>
      </c>
      <c r="R6" s="10" t="inlineStr">
        <is>
          <t>Score DC 5</t>
        </is>
      </c>
      <c r="S6" s="10" t="inlineStr">
        <is>
          <t>Score DC 6</t>
        </is>
      </c>
      <c r="T6" s="10" t="inlineStr">
        <is>
          <t>Anteil DC 1</t>
        </is>
      </c>
      <c r="U6" s="10" t="inlineStr">
        <is>
          <t>Anteil DC 2</t>
        </is>
      </c>
      <c r="V6" s="10" t="inlineStr">
        <is>
          <t>Anteil DC 3</t>
        </is>
      </c>
      <c r="W6" s="10" t="inlineStr">
        <is>
          <t>Anteil DC 4</t>
        </is>
      </c>
      <c r="X6" s="10" t="inlineStr">
        <is>
          <t>Anteil DC 5</t>
        </is>
      </c>
      <c r="Y6" s="10" t="inlineStr">
        <is>
          <t>Anteil DC 6</t>
        </is>
      </c>
    </row>
  </sheetData>
  <conditionalFormatting sqref="N7:S36">
    <cfRule type="colorScale" priority="1">
      <colorScale>
        <cfvo type="num" val="0"/>
        <cfvo type="num" val="0.5"/>
        <cfvo type="num" val="1"/>
        <color rgb="00F8696B"/>
        <color rgb="00FFEB84"/>
        <color rgb="0063BE7B"/>
      </colorScale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K14"/>
  <sheetViews>
    <sheetView showGridLines="0" workbookViewId="0">
      <selection activeCell="A1" sqref="A1"/>
    </sheetView>
  </sheetViews>
  <sheetFormatPr baseColWidth="8" defaultRowHeight="15"/>
  <cols>
    <col width="20" customWidth="1" min="1" max="1"/>
    <col width="12" customWidth="1" min="2" max="2"/>
    <col width="12" customWidth="1" min="3" max="3"/>
    <col width="18" customWidth="1" min="4" max="4"/>
    <col width="3" customWidth="1" min="5" max="5"/>
    <col width="14" customWidth="1" min="6" max="6"/>
    <col width="12" customWidth="1" min="7" max="7"/>
    <col width="12" customWidth="1" min="8" max="8"/>
    <col width="20" customWidth="1" min="9" max="9"/>
    <col width="62" customWidth="1" min="11" max="11"/>
  </cols>
  <sheetData>
    <row r="1" ht="24" customHeight="1">
      <c r="A1" s="1" t="inlineStr">
        <is>
          <t>Karte (Näherung über XY-Streudiagramm)</t>
        </is>
      </c>
    </row>
    <row r="2">
      <c r="A2" s="2" t="inlineStr">
        <is>
          <t>Native interaktive Karten sind in Excel eingeschränkt. Das Blasendiagramm zeigt Längengrad (X) gegen Breitengrad (Y); die Blasengröße entspricht der Kapazität bzw. dem Bedarf.</t>
        </is>
      </c>
    </row>
    <row r="5">
      <c r="A5" s="9" t="inlineStr">
        <is>
          <t>Distributionszentren</t>
        </is>
      </c>
      <c r="F5" s="9" t="inlineStr">
        <is>
          <t>Absatzregionen (gewählte Kategorie)</t>
        </is>
      </c>
    </row>
    <row r="6" ht="30" customHeight="1">
      <c r="A6" s="10" t="inlineStr">
        <is>
          <t>DC-Name</t>
        </is>
      </c>
      <c r="B6" s="10" t="inlineStr">
        <is>
          <t>Longitude (X)</t>
        </is>
      </c>
      <c r="C6" s="10" t="inlineStr">
        <is>
          <t>Latitude (Y)</t>
        </is>
      </c>
      <c r="D6" s="10" t="inlineStr">
        <is>
          <t>Kapazität (Pal.)</t>
        </is>
      </c>
      <c r="F6" s="10" t="inlineStr">
        <is>
          <t>Region</t>
        </is>
      </c>
      <c r="G6" s="10" t="inlineStr">
        <is>
          <t>Longitude (X)</t>
        </is>
      </c>
      <c r="H6" s="10" t="inlineStr">
        <is>
          <t>Latitude (Y)</t>
        </is>
      </c>
      <c r="I6" s="10" t="inlineStr">
        <is>
          <t>Bedarf/Tag (Pal.)</t>
        </is>
      </c>
      <c r="K6" s="3" t="inlineStr">
        <is>
          <t>Punkte beschriften: Diagramm anklicken → Datenbeschriftungen → "Werte aus Zellen" → Bereich A7:A12 bzw. F7:F14 wählen.</t>
        </is>
      </c>
    </row>
    <row r="7">
      <c r="A7" s="25">
        <f>IF(DC_Stammdaten!$A6="","",DC_Stammdaten!$A6)</f>
        <v/>
      </c>
      <c r="B7" s="27">
        <f>IF($A7="","",DC_Stammdaten!$D6)</f>
        <v/>
      </c>
      <c r="C7" s="27">
        <f>IF($A7="","",DC_Stammdaten!$C6)</f>
        <v/>
      </c>
      <c r="D7" s="26">
        <f>IF($A7="","",DC_Stammdaten!$E6)</f>
        <v/>
      </c>
      <c r="F7" s="25">
        <f>Simulation!$F6</f>
        <v/>
      </c>
      <c r="G7" s="27">
        <f>Simulation!$K6</f>
        <v/>
      </c>
      <c r="H7" s="27">
        <f>Simulation!$J6</f>
        <v/>
      </c>
      <c r="I7" s="28">
        <f>Simulation!$I6</f>
        <v/>
      </c>
    </row>
    <row r="8">
      <c r="A8" s="25">
        <f>IF(DC_Stammdaten!$A7="","",DC_Stammdaten!$A7)</f>
        <v/>
      </c>
      <c r="B8" s="27">
        <f>IF($A8="","",DC_Stammdaten!$D7)</f>
        <v/>
      </c>
      <c r="C8" s="27">
        <f>IF($A8="","",DC_Stammdaten!$C7)</f>
        <v/>
      </c>
      <c r="D8" s="26">
        <f>IF($A8="","",DC_Stammdaten!$E7)</f>
        <v/>
      </c>
      <c r="F8" s="25">
        <f>Simulation!$F7</f>
        <v/>
      </c>
      <c r="G8" s="27">
        <f>Simulation!$K7</f>
        <v/>
      </c>
      <c r="H8" s="27">
        <f>Simulation!$J7</f>
        <v/>
      </c>
      <c r="I8" s="28">
        <f>Simulation!$I7</f>
        <v/>
      </c>
    </row>
    <row r="9">
      <c r="A9" s="25">
        <f>IF(DC_Stammdaten!$A8="","",DC_Stammdaten!$A8)</f>
        <v/>
      </c>
      <c r="B9" s="27">
        <f>IF($A9="","",DC_Stammdaten!$D8)</f>
        <v/>
      </c>
      <c r="C9" s="27">
        <f>IF($A9="","",DC_Stammdaten!$C8)</f>
        <v/>
      </c>
      <c r="D9" s="26">
        <f>IF($A9="","",DC_Stammdaten!$E8)</f>
        <v/>
      </c>
      <c r="F9" s="25">
        <f>Simulation!$F8</f>
        <v/>
      </c>
      <c r="G9" s="27">
        <f>Simulation!$K8</f>
        <v/>
      </c>
      <c r="H9" s="27">
        <f>Simulation!$J8</f>
        <v/>
      </c>
      <c r="I9" s="28">
        <f>Simulation!$I8</f>
        <v/>
      </c>
      <c r="K9" s="3" t="inlineStr">
        <is>
          <t>Zusatzoption: Für eine echte Karte die Spalten Region und Bedarf markieren und Einfügen → Karten → Kartendiagramm wählen (benötigt Excel 2019/365 mit Online-Verbindung). 3D-Karten (Power Map) über Einfügen → 3D-Karte.</t>
        </is>
      </c>
    </row>
    <row r="10">
      <c r="A10" s="25">
        <f>IF(DC_Stammdaten!$A9="","",DC_Stammdaten!$A9)</f>
        <v/>
      </c>
      <c r="B10" s="27">
        <f>IF($A10="","",DC_Stammdaten!$D9)</f>
        <v/>
      </c>
      <c r="C10" s="27">
        <f>IF($A10="","",DC_Stammdaten!$C9)</f>
        <v/>
      </c>
      <c r="D10" s="26">
        <f>IF($A10="","",DC_Stammdaten!$E9)</f>
        <v/>
      </c>
      <c r="F10" s="25">
        <f>Simulation!$F9</f>
        <v/>
      </c>
      <c r="G10" s="27">
        <f>Simulation!$K9</f>
        <v/>
      </c>
      <c r="H10" s="27">
        <f>Simulation!$J9</f>
        <v/>
      </c>
      <c r="I10" s="28">
        <f>Simulation!$I9</f>
        <v/>
      </c>
    </row>
    <row r="11">
      <c r="A11" s="25">
        <f>IF(DC_Stammdaten!$A10="","",DC_Stammdaten!$A10)</f>
        <v/>
      </c>
      <c r="B11" s="27">
        <f>IF($A11="","",DC_Stammdaten!$D10)</f>
        <v/>
      </c>
      <c r="C11" s="27">
        <f>IF($A11="","",DC_Stammdaten!$C10)</f>
        <v/>
      </c>
      <c r="D11" s="26">
        <f>IF($A11="","",DC_Stammdaten!$E10)</f>
        <v/>
      </c>
      <c r="F11" s="25">
        <f>Simulation!$F10</f>
        <v/>
      </c>
      <c r="G11" s="27">
        <f>Simulation!$K10</f>
        <v/>
      </c>
      <c r="H11" s="27">
        <f>Simulation!$J10</f>
        <v/>
      </c>
      <c r="I11" s="28">
        <f>Simulation!$I10</f>
        <v/>
      </c>
    </row>
    <row r="12">
      <c r="A12" s="25">
        <f>IF(DC_Stammdaten!$A11="","",DC_Stammdaten!$A11)</f>
        <v/>
      </c>
      <c r="B12" s="27">
        <f>IF($A12="","",DC_Stammdaten!$D11)</f>
        <v/>
      </c>
      <c r="C12" s="27">
        <f>IF($A12="","",DC_Stammdaten!$C11)</f>
        <v/>
      </c>
      <c r="D12" s="26">
        <f>IF($A12="","",DC_Stammdaten!$E11)</f>
        <v/>
      </c>
      <c r="F12" s="25">
        <f>Simulation!$F11</f>
        <v/>
      </c>
      <c r="G12" s="27">
        <f>Simulation!$K11</f>
        <v/>
      </c>
      <c r="H12" s="27">
        <f>Simulation!$J11</f>
        <v/>
      </c>
      <c r="I12" s="28">
        <f>Simulation!$I11</f>
        <v/>
      </c>
    </row>
    <row r="13">
      <c r="F13" s="25">
        <f>Simulation!$F12</f>
        <v/>
      </c>
      <c r="G13" s="27">
        <f>Simulation!$K12</f>
        <v/>
      </c>
      <c r="H13" s="27">
        <f>Simulation!$J12</f>
        <v/>
      </c>
      <c r="I13" s="28">
        <f>Simulation!$I12</f>
        <v/>
      </c>
    </row>
    <row r="14">
      <c r="F14" s="25">
        <f>Simulation!$F13</f>
        <v/>
      </c>
      <c r="G14" s="27">
        <f>Simulation!$K13</f>
        <v/>
      </c>
      <c r="H14" s="27">
        <f>Simulation!$J13</f>
        <v/>
      </c>
      <c r="I14" s="28">
        <f>Simulation!$I13</f>
        <v/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Q485"/>
  <sheetViews>
    <sheetView showGridLines="0" workbookViewId="0">
      <selection activeCell="A1" sqref="A1"/>
    </sheetView>
  </sheetViews>
  <sheetFormatPr baseColWidth="8" defaultRowHeight="15"/>
  <cols>
    <col width="15" customWidth="1" min="1" max="1"/>
    <col width="22" customWidth="1" min="2" max="2"/>
    <col width="14" customWidth="1" min="3" max="3"/>
    <col width="19" customWidth="1" min="4" max="4"/>
    <col width="13" customWidth="1" min="5" max="5"/>
    <col width="15" customWidth="1" min="6" max="6"/>
    <col width="13" customWidth="1" min="7" max="7"/>
    <col width="15" customWidth="1" min="8" max="8"/>
    <col width="15" customWidth="1" min="10" max="10"/>
    <col width="22" customWidth="1" min="11" max="11"/>
    <col width="15" customWidth="1" min="12" max="12"/>
    <col width="19" customWidth="1" min="13" max="13"/>
    <col width="14" customWidth="1" min="14" max="14"/>
    <col width="16" customWidth="1" min="15" max="15"/>
    <col width="15" customWidth="1" min="16" max="16"/>
    <col width="14" customWidth="1" min="17" max="17"/>
  </cols>
  <sheetData>
    <row r="1" ht="24" customHeight="1">
      <c r="A1" s="1" t="inlineStr">
        <is>
          <t>Beispieldaten (Rohdaten wie aus einem Vorsystem)</t>
        </is>
      </c>
    </row>
    <row r="2">
      <c r="A2" s="2" t="inlineStr">
        <is>
          <t>Diese Blöcke haben absichtlich andere Spaltennamen als die Import-Blätter, damit sich die Mapping-Tabelle testen lässt. Über die Schaltfläche "Beispieldaten als CSV" entsteht daraus eine echte Quelldatei für Power Query.</t>
        </is>
      </c>
    </row>
    <row r="4">
      <c r="A4" s="9" t="inlineStr">
        <is>
          <t>Historie (Rohformat)</t>
        </is>
      </c>
      <c r="J4" s="9" t="inlineStr">
        <is>
          <t>Forecast (Rohformat)</t>
        </is>
      </c>
    </row>
    <row r="5" ht="30" customHeight="1">
      <c r="A5" s="10" t="inlineStr">
        <is>
          <t>Buchungsdatum</t>
        </is>
      </c>
      <c r="B5" s="10" t="inlineStr">
        <is>
          <t>Kunde_Name</t>
        </is>
      </c>
      <c r="C5" s="10" t="inlineStr">
        <is>
          <t>Land_Region</t>
        </is>
      </c>
      <c r="D5" s="10" t="inlineStr">
        <is>
          <t>Warengruppe</t>
        </is>
      </c>
      <c r="E5" s="10" t="inlineStr">
        <is>
          <t>Menge_Stk</t>
        </is>
      </c>
      <c r="F5" s="10" t="inlineStr">
        <is>
          <t>Umsatz_EUR</t>
        </is>
      </c>
      <c r="G5" s="10" t="inlineStr">
        <is>
          <t>Volumen_m3</t>
        </is>
      </c>
      <c r="H5" s="10" t="inlineStr">
        <is>
          <t>Paletten_Anzahl</t>
        </is>
      </c>
      <c r="J5" s="10" t="inlineStr">
        <is>
          <t>Planperiode</t>
        </is>
      </c>
      <c r="K5" s="10" t="inlineStr">
        <is>
          <t>Kunde</t>
        </is>
      </c>
      <c r="L5" s="10" t="inlineStr">
        <is>
          <t>Vertriebsregion</t>
        </is>
      </c>
      <c r="M5" s="10" t="inlineStr">
        <is>
          <t>Produktgruppe</t>
        </is>
      </c>
      <c r="N5" s="10" t="inlineStr">
        <is>
          <t>Planmenge_Stk</t>
        </is>
      </c>
      <c r="O5" s="10" t="inlineStr">
        <is>
          <t>Planumsatz_EUR</t>
        </is>
      </c>
      <c r="P5" s="10" t="inlineStr">
        <is>
          <t>Planvolumen_m3</t>
        </is>
      </c>
      <c r="Q5" s="10" t="inlineStr">
        <is>
          <t>Planpaletten</t>
        </is>
      </c>
    </row>
    <row r="6">
      <c r="A6" s="11" t="n">
        <v>45658</v>
      </c>
      <c r="B6" s="20" t="inlineStr">
        <is>
          <t>Tirol Handel AG</t>
        </is>
      </c>
      <c r="C6" s="20" t="inlineStr">
        <is>
          <t>AT</t>
        </is>
      </c>
      <c r="D6" s="20" t="inlineStr">
        <is>
          <t>Non-Food</t>
        </is>
      </c>
      <c r="E6" s="12" t="n">
        <v>4848</v>
      </c>
      <c r="F6" s="12" t="n">
        <v>60600</v>
      </c>
      <c r="G6" s="12" t="n">
        <v>32.32</v>
      </c>
      <c r="H6" s="12" t="n">
        <v>20.2</v>
      </c>
      <c r="J6" s="11" t="n">
        <v>46023</v>
      </c>
      <c r="K6" s="20" t="inlineStr">
        <is>
          <t>Mainpunkt Handel</t>
        </is>
      </c>
      <c r="L6" s="20" t="inlineStr">
        <is>
          <t>DE-Mitte</t>
        </is>
      </c>
      <c r="M6" s="20" t="inlineStr">
        <is>
          <t>Trockensortiment</t>
        </is>
      </c>
      <c r="N6" s="12" t="n">
        <v>87264</v>
      </c>
      <c r="O6" s="12" t="n">
        <v>161438.4</v>
      </c>
      <c r="P6" s="12" t="n">
        <v>175.74</v>
      </c>
      <c r="Q6" s="12" t="n">
        <v>121.2</v>
      </c>
    </row>
    <row r="7">
      <c r="A7" s="11" t="n">
        <v>45658</v>
      </c>
      <c r="B7" s="20" t="inlineStr">
        <is>
          <t>Tirol Handel AG</t>
        </is>
      </c>
      <c r="C7" s="20" t="inlineStr">
        <is>
          <t>AT</t>
        </is>
      </c>
      <c r="D7" s="20" t="inlineStr">
        <is>
          <t>Trockensortiment</t>
        </is>
      </c>
      <c r="E7" s="12" t="n">
        <v>34056</v>
      </c>
      <c r="F7" s="12" t="n">
        <v>63003.6</v>
      </c>
      <c r="G7" s="12" t="n">
        <v>68.58</v>
      </c>
      <c r="H7" s="12" t="n">
        <v>47.3</v>
      </c>
      <c r="J7" s="11" t="n">
        <v>46024</v>
      </c>
      <c r="K7" s="20" t="inlineStr">
        <is>
          <t>Tirol Handel AG</t>
        </is>
      </c>
      <c r="L7" s="20" t="inlineStr">
        <is>
          <t>AT</t>
        </is>
      </c>
      <c r="M7" s="20" t="inlineStr">
        <is>
          <t>Aktionsware</t>
        </is>
      </c>
      <c r="N7" s="12" t="n">
        <v>4500</v>
      </c>
      <c r="O7" s="12" t="n">
        <v>27900</v>
      </c>
      <c r="P7" s="12" t="n">
        <v>18.75</v>
      </c>
      <c r="Q7" s="12" t="n">
        <v>12.5</v>
      </c>
    </row>
    <row r="8">
      <c r="A8" s="11" t="n">
        <v>45658</v>
      </c>
      <c r="B8" s="20" t="inlineStr">
        <is>
          <t>Spree Markt AG</t>
        </is>
      </c>
      <c r="C8" s="20" t="inlineStr">
        <is>
          <t>DE-Ost</t>
        </is>
      </c>
      <c r="D8" s="20" t="inlineStr">
        <is>
          <t>Getraenke</t>
        </is>
      </c>
      <c r="E8" s="12" t="n">
        <v>122880</v>
      </c>
      <c r="F8" s="12" t="n">
        <v>116736</v>
      </c>
      <c r="G8" s="12" t="n">
        <v>198.4</v>
      </c>
      <c r="H8" s="12" t="n">
        <v>128</v>
      </c>
      <c r="J8" s="11" t="n">
        <v>46025</v>
      </c>
      <c r="K8" s="20" t="inlineStr">
        <is>
          <t>Donau Handel AG</t>
        </is>
      </c>
      <c r="L8" s="20" t="inlineStr">
        <is>
          <t>DE-Sued</t>
        </is>
      </c>
      <c r="M8" s="20" t="inlineStr">
        <is>
          <t>Kuehlware</t>
        </is>
      </c>
      <c r="N8" s="12" t="n">
        <v>48480</v>
      </c>
      <c r="O8" s="12" t="n">
        <v>164832</v>
      </c>
      <c r="P8" s="12" t="n">
        <v>131.3</v>
      </c>
      <c r="Q8" s="12" t="n">
        <v>101</v>
      </c>
    </row>
    <row r="9">
      <c r="A9" s="11" t="n">
        <v>45659</v>
      </c>
      <c r="B9" s="20" t="inlineStr">
        <is>
          <t>Sachsen Handel GmbH</t>
        </is>
      </c>
      <c r="C9" s="20" t="inlineStr">
        <is>
          <t>DE-Ost</t>
        </is>
      </c>
      <c r="D9" s="20" t="inlineStr">
        <is>
          <t>Non-Food</t>
        </is>
      </c>
      <c r="E9" s="12" t="n">
        <v>7632</v>
      </c>
      <c r="F9" s="12" t="n">
        <v>95400</v>
      </c>
      <c r="G9" s="12" t="n">
        <v>50.88</v>
      </c>
      <c r="H9" s="12" t="n">
        <v>31.8</v>
      </c>
      <c r="J9" s="11" t="n">
        <v>46025</v>
      </c>
      <c r="K9" s="20" t="inlineStr">
        <is>
          <t>Wisla Retail Sp.</t>
        </is>
      </c>
      <c r="L9" s="20" t="inlineStr">
        <is>
          <t>PL</t>
        </is>
      </c>
      <c r="M9" s="20" t="inlineStr">
        <is>
          <t>Aktionsware</t>
        </is>
      </c>
      <c r="N9" s="12" t="n">
        <v>25416</v>
      </c>
      <c r="O9" s="12" t="n">
        <v>157579.2</v>
      </c>
      <c r="P9" s="12" t="n">
        <v>105.9</v>
      </c>
      <c r="Q9" s="12" t="n">
        <v>70.59999999999999</v>
      </c>
    </row>
    <row r="10">
      <c r="A10" s="11" t="n">
        <v>45659</v>
      </c>
      <c r="B10" s="20" t="inlineStr">
        <is>
          <t>Donau Handel AG</t>
        </is>
      </c>
      <c r="C10" s="20" t="inlineStr">
        <is>
          <t>DE-Sued</t>
        </is>
      </c>
      <c r="D10" s="20" t="inlineStr">
        <is>
          <t>Trockensortiment</t>
        </is>
      </c>
      <c r="E10" s="12" t="n">
        <v>113256</v>
      </c>
      <c r="F10" s="12" t="n">
        <v>209523.6</v>
      </c>
      <c r="G10" s="12" t="n">
        <v>228.09</v>
      </c>
      <c r="H10" s="12" t="n">
        <v>157.3</v>
      </c>
      <c r="J10" s="11" t="n">
        <v>46026</v>
      </c>
      <c r="K10" s="20" t="inlineStr">
        <is>
          <t>Spree Markt AG</t>
        </is>
      </c>
      <c r="L10" s="20" t="inlineStr">
        <is>
          <t>DE-Ost</t>
        </is>
      </c>
      <c r="M10" s="20" t="inlineStr">
        <is>
          <t>Non-Food</t>
        </is>
      </c>
      <c r="N10" s="12" t="n">
        <v>7752</v>
      </c>
      <c r="O10" s="12" t="n">
        <v>96900</v>
      </c>
      <c r="P10" s="12" t="n">
        <v>51.68</v>
      </c>
      <c r="Q10" s="12" t="n">
        <v>32.3</v>
      </c>
    </row>
    <row r="11">
      <c r="A11" s="11" t="n">
        <v>45660</v>
      </c>
      <c r="B11" s="20" t="inlineStr">
        <is>
          <t>Sued Filialen KG</t>
        </is>
      </c>
      <c r="C11" s="20" t="inlineStr">
        <is>
          <t>DE-Sued</t>
        </is>
      </c>
      <c r="D11" s="20" t="inlineStr">
        <is>
          <t>Non-Food</t>
        </is>
      </c>
      <c r="E11" s="12" t="n">
        <v>10992</v>
      </c>
      <c r="F11" s="12" t="n">
        <v>137400</v>
      </c>
      <c r="G11" s="12" t="n">
        <v>73.28</v>
      </c>
      <c r="H11" s="12" t="n">
        <v>45.8</v>
      </c>
      <c r="J11" s="11" t="n">
        <v>46026</v>
      </c>
      <c r="K11" s="20" t="inlineStr">
        <is>
          <t>Spree Markt AG</t>
        </is>
      </c>
      <c r="L11" s="20" t="inlineStr">
        <is>
          <t>DE-Ost</t>
        </is>
      </c>
      <c r="M11" s="20" t="inlineStr">
        <is>
          <t>Trockensortiment</t>
        </is>
      </c>
      <c r="N11" s="12" t="n">
        <v>66744</v>
      </c>
      <c r="O11" s="12" t="n">
        <v>123476.4</v>
      </c>
      <c r="P11" s="12" t="n">
        <v>134.41</v>
      </c>
      <c r="Q11" s="12" t="n">
        <v>92.7</v>
      </c>
    </row>
    <row r="12">
      <c r="A12" s="11" t="n">
        <v>45661</v>
      </c>
      <c r="B12" s="20" t="inlineStr">
        <is>
          <t>Nordmarkt AG</t>
        </is>
      </c>
      <c r="C12" s="20" t="inlineStr">
        <is>
          <t>DE-Nord</t>
        </is>
      </c>
      <c r="D12" s="20" t="inlineStr">
        <is>
          <t>Kuehlware</t>
        </is>
      </c>
      <c r="E12" s="12" t="n">
        <v>63792</v>
      </c>
      <c r="F12" s="12" t="n">
        <v>216892.8</v>
      </c>
      <c r="G12" s="12" t="n">
        <v>172.77</v>
      </c>
      <c r="H12" s="12" t="n">
        <v>132.9</v>
      </c>
      <c r="J12" s="11" t="n">
        <v>46026</v>
      </c>
      <c r="K12" s="20" t="inlineStr">
        <is>
          <t>Randstad Retail BV</t>
        </is>
      </c>
      <c r="L12" s="20" t="inlineStr">
        <is>
          <t>NL</t>
        </is>
      </c>
      <c r="M12" s="20" t="inlineStr">
        <is>
          <t>Aktionsware</t>
        </is>
      </c>
      <c r="N12" s="12" t="n">
        <v>6012</v>
      </c>
      <c r="O12" s="12" t="n">
        <v>37274.4</v>
      </c>
      <c r="P12" s="12" t="n">
        <v>25.05</v>
      </c>
      <c r="Q12" s="12" t="n">
        <v>16.7</v>
      </c>
    </row>
    <row r="13">
      <c r="A13" s="11" t="n">
        <v>45661</v>
      </c>
      <c r="B13" s="20" t="inlineStr">
        <is>
          <t>Westfilial AG</t>
        </is>
      </c>
      <c r="C13" s="20" t="inlineStr">
        <is>
          <t>DE-West</t>
        </is>
      </c>
      <c r="D13" s="20" t="inlineStr">
        <is>
          <t>Kuehlware</t>
        </is>
      </c>
      <c r="E13" s="12" t="n">
        <v>50016</v>
      </c>
      <c r="F13" s="12" t="n">
        <v>170054.4</v>
      </c>
      <c r="G13" s="12" t="n">
        <v>135.46</v>
      </c>
      <c r="H13" s="12" t="n">
        <v>104.2</v>
      </c>
      <c r="J13" s="11" t="n">
        <v>46027</v>
      </c>
      <c r="K13" s="20" t="inlineStr">
        <is>
          <t>Alpenmarkt GmbH</t>
        </is>
      </c>
      <c r="L13" s="20" t="inlineStr">
        <is>
          <t>DE-Sued</t>
        </is>
      </c>
      <c r="M13" s="20" t="inlineStr">
        <is>
          <t>Aktionsware</t>
        </is>
      </c>
      <c r="N13" s="12" t="n">
        <v>15300</v>
      </c>
      <c r="O13" s="12" t="n">
        <v>94860</v>
      </c>
      <c r="P13" s="12" t="n">
        <v>63.75</v>
      </c>
      <c r="Q13" s="12" t="n">
        <v>42.5</v>
      </c>
    </row>
    <row r="14">
      <c r="A14" s="11" t="n">
        <v>45663</v>
      </c>
      <c r="B14" s="20" t="inlineStr">
        <is>
          <t>Spree Markt AG</t>
        </is>
      </c>
      <c r="C14" s="20" t="inlineStr">
        <is>
          <t>DE-Ost</t>
        </is>
      </c>
      <c r="D14" s="20" t="inlineStr">
        <is>
          <t>Kuehlware</t>
        </is>
      </c>
      <c r="E14" s="12" t="n">
        <v>31200</v>
      </c>
      <c r="F14" s="12" t="n">
        <v>106080</v>
      </c>
      <c r="G14" s="12" t="n">
        <v>84.5</v>
      </c>
      <c r="H14" s="12" t="n">
        <v>65</v>
      </c>
      <c r="J14" s="11" t="n">
        <v>46028</v>
      </c>
      <c r="K14" s="20" t="inlineStr">
        <is>
          <t>Elbe Handel GmbH</t>
        </is>
      </c>
      <c r="L14" s="20" t="inlineStr">
        <is>
          <t>DE-Nord</t>
        </is>
      </c>
      <c r="M14" s="20" t="inlineStr">
        <is>
          <t>Kuehlware</t>
        </is>
      </c>
      <c r="N14" s="12" t="n">
        <v>51888</v>
      </c>
      <c r="O14" s="12" t="n">
        <v>176419.2</v>
      </c>
      <c r="P14" s="12" t="n">
        <v>140.53</v>
      </c>
      <c r="Q14" s="12" t="n">
        <v>108.1</v>
      </c>
    </row>
    <row r="15">
      <c r="A15" s="11" t="n">
        <v>45664</v>
      </c>
      <c r="B15" s="20" t="inlineStr">
        <is>
          <t>Sued Filialen KG</t>
        </is>
      </c>
      <c r="C15" s="20" t="inlineStr">
        <is>
          <t>DE-Sued</t>
        </is>
      </c>
      <c r="D15" s="20" t="inlineStr">
        <is>
          <t>Kuehlware</t>
        </is>
      </c>
      <c r="E15" s="12" t="n">
        <v>43344</v>
      </c>
      <c r="F15" s="12" t="n">
        <v>147369.6</v>
      </c>
      <c r="G15" s="12" t="n">
        <v>117.39</v>
      </c>
      <c r="H15" s="12" t="n">
        <v>90.3</v>
      </c>
      <c r="J15" s="11" t="n">
        <v>46029</v>
      </c>
      <c r="K15" s="20" t="inlineStr">
        <is>
          <t>Austria Markt GmbH</t>
        </is>
      </c>
      <c r="L15" s="20" t="inlineStr">
        <is>
          <t>AT</t>
        </is>
      </c>
      <c r="M15" s="20" t="inlineStr">
        <is>
          <t>Getraenke</t>
        </is>
      </c>
      <c r="N15" s="12" t="n">
        <v>60000</v>
      </c>
      <c r="O15" s="12" t="n">
        <v>57000</v>
      </c>
      <c r="P15" s="12" t="n">
        <v>96.88</v>
      </c>
      <c r="Q15" s="12" t="n">
        <v>62.5</v>
      </c>
    </row>
    <row r="16">
      <c r="A16" s="11" t="n">
        <v>45664</v>
      </c>
      <c r="B16" s="20" t="inlineStr">
        <is>
          <t>Delta Foods BV</t>
        </is>
      </c>
      <c r="C16" s="20" t="inlineStr">
        <is>
          <t>NL</t>
        </is>
      </c>
      <c r="D16" s="20" t="inlineStr">
        <is>
          <t>Aktionsware</t>
        </is>
      </c>
      <c r="E16" s="12" t="n">
        <v>5976</v>
      </c>
      <c r="F16" s="12" t="n">
        <v>37051.2</v>
      </c>
      <c r="G16" s="12" t="n">
        <v>24.9</v>
      </c>
      <c r="H16" s="12" t="n">
        <v>16.6</v>
      </c>
      <c r="J16" s="11" t="n">
        <v>46029</v>
      </c>
      <c r="K16" s="20" t="inlineStr">
        <is>
          <t>Tirol Handel AG</t>
        </is>
      </c>
      <c r="L16" s="20" t="inlineStr">
        <is>
          <t>AT</t>
        </is>
      </c>
      <c r="M16" s="20" t="inlineStr">
        <is>
          <t>Trockensortiment</t>
        </is>
      </c>
      <c r="N16" s="12" t="n">
        <v>37296</v>
      </c>
      <c r="O16" s="12" t="n">
        <v>68997.60000000001</v>
      </c>
      <c r="P16" s="12" t="n">
        <v>75.11</v>
      </c>
      <c r="Q16" s="12" t="n">
        <v>51.8</v>
      </c>
    </row>
    <row r="17">
      <c r="A17" s="11" t="n">
        <v>45665</v>
      </c>
      <c r="B17" s="20" t="inlineStr">
        <is>
          <t>Hessen Vertrieb GmbH</t>
        </is>
      </c>
      <c r="C17" s="20" t="inlineStr">
        <is>
          <t>DE-Mitte</t>
        </is>
      </c>
      <c r="D17" s="20" t="inlineStr">
        <is>
          <t>Trockensortiment</t>
        </is>
      </c>
      <c r="E17" s="12" t="n">
        <v>79560</v>
      </c>
      <c r="F17" s="12" t="n">
        <v>147186</v>
      </c>
      <c r="G17" s="12" t="n">
        <v>160.22</v>
      </c>
      <c r="H17" s="12" t="n">
        <v>110.5</v>
      </c>
      <c r="J17" s="11" t="n">
        <v>46029</v>
      </c>
      <c r="K17" s="20" t="inlineStr">
        <is>
          <t>Rheinland Retail SE</t>
        </is>
      </c>
      <c r="L17" s="20" t="inlineStr">
        <is>
          <t>DE-West</t>
        </is>
      </c>
      <c r="M17" s="20" t="inlineStr">
        <is>
          <t>Aktionsware</t>
        </is>
      </c>
      <c r="N17" s="12" t="n">
        <v>16236</v>
      </c>
      <c r="O17" s="12" t="n">
        <v>100663.2</v>
      </c>
      <c r="P17" s="12" t="n">
        <v>67.65000000000001</v>
      </c>
      <c r="Q17" s="12" t="n">
        <v>45.1</v>
      </c>
    </row>
    <row r="18">
      <c r="A18" s="11" t="n">
        <v>45665</v>
      </c>
      <c r="B18" s="20" t="inlineStr">
        <is>
          <t>Kuestenlager KG</t>
        </is>
      </c>
      <c r="C18" s="20" t="inlineStr">
        <is>
          <t>DE-Nord</t>
        </is>
      </c>
      <c r="D18" s="20" t="inlineStr">
        <is>
          <t>Non-Food</t>
        </is>
      </c>
      <c r="E18" s="12" t="n">
        <v>10368</v>
      </c>
      <c r="F18" s="12" t="n">
        <v>129600</v>
      </c>
      <c r="G18" s="12" t="n">
        <v>69.12</v>
      </c>
      <c r="H18" s="12" t="n">
        <v>43.2</v>
      </c>
      <c r="J18" s="11" t="n">
        <v>46030</v>
      </c>
      <c r="K18" s="20" t="inlineStr">
        <is>
          <t>Mainpunkt Handel</t>
        </is>
      </c>
      <c r="L18" s="20" t="inlineStr">
        <is>
          <t>DE-Mitte</t>
        </is>
      </c>
      <c r="M18" s="20" t="inlineStr">
        <is>
          <t>Non-Food</t>
        </is>
      </c>
      <c r="N18" s="12" t="n">
        <v>10224</v>
      </c>
      <c r="O18" s="12" t="n">
        <v>127800</v>
      </c>
      <c r="P18" s="12" t="n">
        <v>68.16</v>
      </c>
      <c r="Q18" s="12" t="n">
        <v>42.6</v>
      </c>
    </row>
    <row r="19">
      <c r="A19" s="11" t="n">
        <v>45666</v>
      </c>
      <c r="B19" s="20" t="inlineStr">
        <is>
          <t>Tirol Handel AG</t>
        </is>
      </c>
      <c r="C19" s="20" t="inlineStr">
        <is>
          <t>AT</t>
        </is>
      </c>
      <c r="D19" s="20" t="inlineStr">
        <is>
          <t>Kuehlware</t>
        </is>
      </c>
      <c r="E19" s="12" t="n">
        <v>12192</v>
      </c>
      <c r="F19" s="12" t="n">
        <v>41452.8</v>
      </c>
      <c r="G19" s="12" t="n">
        <v>33.02</v>
      </c>
      <c r="H19" s="12" t="n">
        <v>25.4</v>
      </c>
      <c r="J19" s="11" t="n">
        <v>46030</v>
      </c>
      <c r="K19" s="20" t="inlineStr">
        <is>
          <t>Nordmarkt AG</t>
        </is>
      </c>
      <c r="L19" s="20" t="inlineStr">
        <is>
          <t>DE-Nord</t>
        </is>
      </c>
      <c r="M19" s="20" t="inlineStr">
        <is>
          <t>Aktionsware</t>
        </is>
      </c>
      <c r="N19" s="12" t="n">
        <v>11736</v>
      </c>
      <c r="O19" s="12" t="n">
        <v>72763.2</v>
      </c>
      <c r="P19" s="12" t="n">
        <v>48.9</v>
      </c>
      <c r="Q19" s="12" t="n">
        <v>32.6</v>
      </c>
    </row>
    <row r="20">
      <c r="A20" s="11" t="n">
        <v>45666</v>
      </c>
      <c r="B20" s="20" t="inlineStr">
        <is>
          <t>Elbe Handel GmbH</t>
        </is>
      </c>
      <c r="C20" s="20" t="inlineStr">
        <is>
          <t>DE-Nord</t>
        </is>
      </c>
      <c r="D20" s="20" t="inlineStr">
        <is>
          <t>Trockensortiment</t>
        </is>
      </c>
      <c r="E20" s="12" t="n">
        <v>133272</v>
      </c>
      <c r="F20" s="12" t="n">
        <v>246553.2</v>
      </c>
      <c r="G20" s="12" t="n">
        <v>268.39</v>
      </c>
      <c r="H20" s="12" t="n">
        <v>185.1</v>
      </c>
      <c r="J20" s="11" t="n">
        <v>46030</v>
      </c>
      <c r="K20" s="20" t="inlineStr">
        <is>
          <t>Elbe Handel GmbH</t>
        </is>
      </c>
      <c r="L20" s="20" t="inlineStr">
        <is>
          <t>DE-Nord</t>
        </is>
      </c>
      <c r="M20" s="20" t="inlineStr">
        <is>
          <t>Getraenke</t>
        </is>
      </c>
      <c r="N20" s="12" t="n">
        <v>130176</v>
      </c>
      <c r="O20" s="12" t="n">
        <v>123667.2</v>
      </c>
      <c r="P20" s="12" t="n">
        <v>210.18</v>
      </c>
      <c r="Q20" s="12" t="n">
        <v>135.6</v>
      </c>
    </row>
    <row r="21">
      <c r="A21" s="11" t="n">
        <v>45667</v>
      </c>
      <c r="B21" s="20" t="inlineStr">
        <is>
          <t>Ruhr Frische GmbH</t>
        </is>
      </c>
      <c r="C21" s="20" t="inlineStr">
        <is>
          <t>DE-West</t>
        </is>
      </c>
      <c r="D21" s="20" t="inlineStr">
        <is>
          <t>Getraenke</t>
        </is>
      </c>
      <c r="E21" s="12" t="n">
        <v>216480</v>
      </c>
      <c r="F21" s="12" t="n">
        <v>205656</v>
      </c>
      <c r="G21" s="12" t="n">
        <v>349.53</v>
      </c>
      <c r="H21" s="12" t="n">
        <v>225.5</v>
      </c>
      <c r="J21" s="11" t="n">
        <v>46031</v>
      </c>
      <c r="K21" s="20" t="inlineStr">
        <is>
          <t>Delta Foods BV</t>
        </is>
      </c>
      <c r="L21" s="20" t="inlineStr">
        <is>
          <t>NL</t>
        </is>
      </c>
      <c r="M21" s="20" t="inlineStr">
        <is>
          <t>Non-Food</t>
        </is>
      </c>
      <c r="N21" s="12" t="n">
        <v>5808</v>
      </c>
      <c r="O21" s="12" t="n">
        <v>72600</v>
      </c>
      <c r="P21" s="12" t="n">
        <v>38.72</v>
      </c>
      <c r="Q21" s="12" t="n">
        <v>24.2</v>
      </c>
    </row>
    <row r="22">
      <c r="A22" s="11" t="n">
        <v>45670</v>
      </c>
      <c r="B22" s="20" t="inlineStr">
        <is>
          <t>Elbe Handel GmbH</t>
        </is>
      </c>
      <c r="C22" s="20" t="inlineStr">
        <is>
          <t>DE-Nord</t>
        </is>
      </c>
      <c r="D22" s="20" t="inlineStr">
        <is>
          <t>Getraenke</t>
        </is>
      </c>
      <c r="E22" s="12" t="n">
        <v>148032</v>
      </c>
      <c r="F22" s="12" t="n">
        <v>140630.4</v>
      </c>
      <c r="G22" s="12" t="n">
        <v>239.01</v>
      </c>
      <c r="H22" s="12" t="n">
        <v>154.2</v>
      </c>
      <c r="J22" s="11" t="n">
        <v>46032</v>
      </c>
      <c r="K22" s="20" t="inlineStr">
        <is>
          <t>Hessen Vertrieb GmbH</t>
        </is>
      </c>
      <c r="L22" s="20" t="inlineStr">
        <is>
          <t>DE-Mitte</t>
        </is>
      </c>
      <c r="M22" s="20" t="inlineStr">
        <is>
          <t>Aktionsware</t>
        </is>
      </c>
      <c r="N22" s="12" t="n">
        <v>11016</v>
      </c>
      <c r="O22" s="12" t="n">
        <v>68299.2</v>
      </c>
      <c r="P22" s="12" t="n">
        <v>45.9</v>
      </c>
      <c r="Q22" s="12" t="n">
        <v>30.6</v>
      </c>
    </row>
    <row r="23">
      <c r="A23" s="11" t="n">
        <v>45671</v>
      </c>
      <c r="B23" s="20" t="inlineStr">
        <is>
          <t>Randstad Retail BV</t>
        </is>
      </c>
      <c r="C23" s="20" t="inlineStr">
        <is>
          <t>NL</t>
        </is>
      </c>
      <c r="D23" s="20" t="inlineStr">
        <is>
          <t>Getraenke</t>
        </is>
      </c>
      <c r="E23" s="12" t="n">
        <v>41184</v>
      </c>
      <c r="F23" s="12" t="n">
        <v>39124.8</v>
      </c>
      <c r="G23" s="12" t="n">
        <v>66.5</v>
      </c>
      <c r="H23" s="12" t="n">
        <v>42.9</v>
      </c>
      <c r="J23" s="11" t="n">
        <v>46032</v>
      </c>
      <c r="K23" s="20" t="inlineStr">
        <is>
          <t>Kuestenlager KG</t>
        </is>
      </c>
      <c r="L23" s="20" t="inlineStr">
        <is>
          <t>DE-Nord</t>
        </is>
      </c>
      <c r="M23" s="20" t="inlineStr">
        <is>
          <t>Non-Food</t>
        </is>
      </c>
      <c r="N23" s="12" t="n">
        <v>10320</v>
      </c>
      <c r="O23" s="12" t="n">
        <v>129000</v>
      </c>
      <c r="P23" s="12" t="n">
        <v>68.8</v>
      </c>
      <c r="Q23" s="12" t="n">
        <v>43</v>
      </c>
    </row>
    <row r="24">
      <c r="A24" s="11" t="n">
        <v>45671</v>
      </c>
      <c r="B24" s="20" t="inlineStr">
        <is>
          <t>Randstad Retail BV</t>
        </is>
      </c>
      <c r="C24" s="20" t="inlineStr">
        <is>
          <t>NL</t>
        </is>
      </c>
      <c r="D24" s="20" t="inlineStr">
        <is>
          <t>Trockensortiment</t>
        </is>
      </c>
      <c r="E24" s="12" t="n">
        <v>49176</v>
      </c>
      <c r="F24" s="12" t="n">
        <v>90975.60000000001</v>
      </c>
      <c r="G24" s="12" t="n">
        <v>99.03</v>
      </c>
      <c r="H24" s="12" t="n">
        <v>68.3</v>
      </c>
      <c r="J24" s="11" t="n">
        <v>46034</v>
      </c>
      <c r="K24" s="20" t="inlineStr">
        <is>
          <t>Alpenmarkt GmbH</t>
        </is>
      </c>
      <c r="L24" s="20" t="inlineStr">
        <is>
          <t>DE-Sued</t>
        </is>
      </c>
      <c r="M24" s="20" t="inlineStr">
        <is>
          <t>Non-Food</t>
        </is>
      </c>
      <c r="N24" s="12" t="n">
        <v>11232</v>
      </c>
      <c r="O24" s="12" t="n">
        <v>140400</v>
      </c>
      <c r="P24" s="12" t="n">
        <v>74.88</v>
      </c>
      <c r="Q24" s="12" t="n">
        <v>46.8</v>
      </c>
    </row>
    <row r="25">
      <c r="A25" s="11" t="n">
        <v>45671</v>
      </c>
      <c r="B25" s="20" t="inlineStr">
        <is>
          <t>Odra Handel Sp.</t>
        </is>
      </c>
      <c r="C25" s="20" t="inlineStr">
        <is>
          <t>PL</t>
        </is>
      </c>
      <c r="D25" s="20" t="inlineStr">
        <is>
          <t>Trockensortiment</t>
        </is>
      </c>
      <c r="E25" s="12" t="n">
        <v>27792</v>
      </c>
      <c r="F25" s="12" t="n">
        <v>51415.2</v>
      </c>
      <c r="G25" s="12" t="n">
        <v>55.97</v>
      </c>
      <c r="H25" s="12" t="n">
        <v>38.6</v>
      </c>
      <c r="J25" s="11" t="n">
        <v>46034</v>
      </c>
      <c r="K25" s="20" t="inlineStr">
        <is>
          <t>Westfilial AG</t>
        </is>
      </c>
      <c r="L25" s="20" t="inlineStr">
        <is>
          <t>DE-West</t>
        </is>
      </c>
      <c r="M25" s="20" t="inlineStr">
        <is>
          <t>Non-Food</t>
        </is>
      </c>
      <c r="N25" s="12" t="n">
        <v>14520</v>
      </c>
      <c r="O25" s="12" t="n">
        <v>181500</v>
      </c>
      <c r="P25" s="12" t="n">
        <v>96.8</v>
      </c>
      <c r="Q25" s="12" t="n">
        <v>60.5</v>
      </c>
    </row>
    <row r="26">
      <c r="A26" s="11" t="n">
        <v>45672</v>
      </c>
      <c r="B26" s="20" t="inlineStr">
        <is>
          <t>Donau Handel AG</t>
        </is>
      </c>
      <c r="C26" s="20" t="inlineStr">
        <is>
          <t>DE-Sued</t>
        </is>
      </c>
      <c r="D26" s="20" t="inlineStr">
        <is>
          <t>Aktionsware</t>
        </is>
      </c>
      <c r="E26" s="12" t="n">
        <v>13464</v>
      </c>
      <c r="F26" s="12" t="n">
        <v>83476.8</v>
      </c>
      <c r="G26" s="12" t="n">
        <v>56.1</v>
      </c>
      <c r="H26" s="12" t="n">
        <v>37.4</v>
      </c>
      <c r="J26" s="11" t="n">
        <v>46035</v>
      </c>
      <c r="K26" s="20" t="inlineStr">
        <is>
          <t>Austria Markt GmbH</t>
        </is>
      </c>
      <c r="L26" s="20" t="inlineStr">
        <is>
          <t>AT</t>
        </is>
      </c>
      <c r="M26" s="20" t="inlineStr">
        <is>
          <t>Kuehlware</t>
        </is>
      </c>
      <c r="N26" s="12" t="n">
        <v>12864</v>
      </c>
      <c r="O26" s="12" t="n">
        <v>43737.6</v>
      </c>
      <c r="P26" s="12" t="n">
        <v>34.84</v>
      </c>
      <c r="Q26" s="12" t="n">
        <v>26.8</v>
      </c>
    </row>
    <row r="27">
      <c r="A27" s="11" t="n">
        <v>45672</v>
      </c>
      <c r="B27" s="20" t="inlineStr">
        <is>
          <t>Wisla Retail Sp.</t>
        </is>
      </c>
      <c r="C27" s="20" t="inlineStr">
        <is>
          <t>PL</t>
        </is>
      </c>
      <c r="D27" s="20" t="inlineStr">
        <is>
          <t>Aktionsware</t>
        </is>
      </c>
      <c r="E27" s="12" t="n">
        <v>21024</v>
      </c>
      <c r="F27" s="12" t="n">
        <v>130348.8</v>
      </c>
      <c r="G27" s="12" t="n">
        <v>87.59999999999999</v>
      </c>
      <c r="H27" s="12" t="n">
        <v>58.4</v>
      </c>
      <c r="J27" s="11" t="n">
        <v>46035</v>
      </c>
      <c r="K27" s="20" t="inlineStr">
        <is>
          <t>Randstad Retail BV</t>
        </is>
      </c>
      <c r="L27" s="20" t="inlineStr">
        <is>
          <t>NL</t>
        </is>
      </c>
      <c r="M27" s="20" t="inlineStr">
        <is>
          <t>Kuehlware</t>
        </is>
      </c>
      <c r="N27" s="12" t="n">
        <v>23712</v>
      </c>
      <c r="O27" s="12" t="n">
        <v>80620.8</v>
      </c>
      <c r="P27" s="12" t="n">
        <v>64.22</v>
      </c>
      <c r="Q27" s="12" t="n">
        <v>49.4</v>
      </c>
    </row>
    <row r="28">
      <c r="A28" s="11" t="n">
        <v>45673</v>
      </c>
      <c r="B28" s="20" t="inlineStr">
        <is>
          <t>Delta Foods BV</t>
        </is>
      </c>
      <c r="C28" s="20" t="inlineStr">
        <is>
          <t>NL</t>
        </is>
      </c>
      <c r="D28" s="20" t="inlineStr">
        <is>
          <t>Non-Food</t>
        </is>
      </c>
      <c r="E28" s="12" t="n">
        <v>6336</v>
      </c>
      <c r="F28" s="12" t="n">
        <v>79200</v>
      </c>
      <c r="G28" s="12" t="n">
        <v>42.24</v>
      </c>
      <c r="H28" s="12" t="n">
        <v>26.4</v>
      </c>
      <c r="J28" s="11" t="n">
        <v>46036</v>
      </c>
      <c r="K28" s="20" t="inlineStr">
        <is>
          <t>Sachsen Handel GmbH</t>
        </is>
      </c>
      <c r="L28" s="20" t="inlineStr">
        <is>
          <t>DE-Ost</t>
        </is>
      </c>
      <c r="M28" s="20" t="inlineStr">
        <is>
          <t>Getraenke</t>
        </is>
      </c>
      <c r="N28" s="12" t="n">
        <v>102624</v>
      </c>
      <c r="O28" s="12" t="n">
        <v>97492.8</v>
      </c>
      <c r="P28" s="12" t="n">
        <v>165.7</v>
      </c>
      <c r="Q28" s="12" t="n">
        <v>106.9</v>
      </c>
    </row>
    <row r="29">
      <c r="A29" s="11" t="n">
        <v>45674</v>
      </c>
      <c r="B29" s="20" t="inlineStr">
        <is>
          <t>Hessen Vertrieb GmbH</t>
        </is>
      </c>
      <c r="C29" s="20" t="inlineStr">
        <is>
          <t>DE-Mitte</t>
        </is>
      </c>
      <c r="D29" s="20" t="inlineStr">
        <is>
          <t>Aktionsware</t>
        </is>
      </c>
      <c r="E29" s="12" t="n">
        <v>11448</v>
      </c>
      <c r="F29" s="12" t="n">
        <v>70977.60000000001</v>
      </c>
      <c r="G29" s="12" t="n">
        <v>47.7</v>
      </c>
      <c r="H29" s="12" t="n">
        <v>31.8</v>
      </c>
      <c r="J29" s="11" t="n">
        <v>46037</v>
      </c>
      <c r="K29" s="20" t="inlineStr">
        <is>
          <t>Donau Handel AG</t>
        </is>
      </c>
      <c r="L29" s="20" t="inlineStr">
        <is>
          <t>DE-Sued</t>
        </is>
      </c>
      <c r="M29" s="20" t="inlineStr">
        <is>
          <t>Getraenke</t>
        </is>
      </c>
      <c r="N29" s="12" t="n">
        <v>214176</v>
      </c>
      <c r="O29" s="12" t="n">
        <v>203467.2</v>
      </c>
      <c r="P29" s="12" t="n">
        <v>345.81</v>
      </c>
      <c r="Q29" s="12" t="n">
        <v>223.1</v>
      </c>
    </row>
    <row r="30">
      <c r="A30" s="11" t="n">
        <v>45674</v>
      </c>
      <c r="B30" s="20" t="inlineStr">
        <is>
          <t>Donau Handel AG</t>
        </is>
      </c>
      <c r="C30" s="20" t="inlineStr">
        <is>
          <t>DE-Sued</t>
        </is>
      </c>
      <c r="D30" s="20" t="inlineStr">
        <is>
          <t>Getraenke</t>
        </is>
      </c>
      <c r="E30" s="12" t="n">
        <v>180288</v>
      </c>
      <c r="F30" s="12" t="n">
        <v>171273.6</v>
      </c>
      <c r="G30" s="12" t="n">
        <v>291.09</v>
      </c>
      <c r="H30" s="12" t="n">
        <v>187.8</v>
      </c>
      <c r="J30" s="11" t="n">
        <v>46037</v>
      </c>
      <c r="K30" s="20" t="inlineStr">
        <is>
          <t>Sued Filialen KG</t>
        </is>
      </c>
      <c r="L30" s="20" t="inlineStr">
        <is>
          <t>DE-Sued</t>
        </is>
      </c>
      <c r="M30" s="20" t="inlineStr">
        <is>
          <t>Trockensortiment</t>
        </is>
      </c>
      <c r="N30" s="12" t="n">
        <v>116352</v>
      </c>
      <c r="O30" s="12" t="n">
        <v>215251.2</v>
      </c>
      <c r="P30" s="12" t="n">
        <v>234.32</v>
      </c>
      <c r="Q30" s="12" t="n">
        <v>161.6</v>
      </c>
    </row>
    <row r="31">
      <c r="A31" s="11" t="n">
        <v>45674</v>
      </c>
      <c r="B31" s="20" t="inlineStr">
        <is>
          <t>Wisla Retail Sp.</t>
        </is>
      </c>
      <c r="C31" s="20" t="inlineStr">
        <is>
          <t>PL</t>
        </is>
      </c>
      <c r="D31" s="20" t="inlineStr">
        <is>
          <t>Non-Food</t>
        </is>
      </c>
      <c r="E31" s="12" t="n">
        <v>10992</v>
      </c>
      <c r="F31" s="12" t="n">
        <v>137400</v>
      </c>
      <c r="G31" s="12" t="n">
        <v>73.28</v>
      </c>
      <c r="H31" s="12" t="n">
        <v>45.8</v>
      </c>
      <c r="J31" s="11" t="n">
        <v>46037</v>
      </c>
      <c r="K31" s="20" t="inlineStr">
        <is>
          <t>Ruhr Frische GmbH</t>
        </is>
      </c>
      <c r="L31" s="20" t="inlineStr">
        <is>
          <t>DE-West</t>
        </is>
      </c>
      <c r="M31" s="20" t="inlineStr">
        <is>
          <t>Kuehlware</t>
        </is>
      </c>
      <c r="N31" s="12" t="n">
        <v>54528</v>
      </c>
      <c r="O31" s="12" t="n">
        <v>185395.2</v>
      </c>
      <c r="P31" s="12" t="n">
        <v>147.68</v>
      </c>
      <c r="Q31" s="12" t="n">
        <v>113.6</v>
      </c>
    </row>
    <row r="32">
      <c r="A32" s="11" t="n">
        <v>45675</v>
      </c>
      <c r="B32" s="20" t="inlineStr">
        <is>
          <t>Hessen Vertrieb GmbH</t>
        </is>
      </c>
      <c r="C32" s="20" t="inlineStr">
        <is>
          <t>DE-Mitte</t>
        </is>
      </c>
      <c r="D32" s="20" t="inlineStr">
        <is>
          <t>Kuehlware</t>
        </is>
      </c>
      <c r="E32" s="12" t="n">
        <v>28848</v>
      </c>
      <c r="F32" s="12" t="n">
        <v>98083.2</v>
      </c>
      <c r="G32" s="12" t="n">
        <v>78.13</v>
      </c>
      <c r="H32" s="12" t="n">
        <v>60.1</v>
      </c>
      <c r="J32" s="11" t="n">
        <v>46039</v>
      </c>
      <c r="K32" s="20" t="inlineStr">
        <is>
          <t>Sachsen Handel GmbH</t>
        </is>
      </c>
      <c r="L32" s="20" t="inlineStr">
        <is>
          <t>DE-Ost</t>
        </is>
      </c>
      <c r="M32" s="20" t="inlineStr">
        <is>
          <t>Kuehlware</t>
        </is>
      </c>
      <c r="N32" s="12" t="n">
        <v>28752</v>
      </c>
      <c r="O32" s="12" t="n">
        <v>97756.8</v>
      </c>
      <c r="P32" s="12" t="n">
        <v>77.87</v>
      </c>
      <c r="Q32" s="12" t="n">
        <v>59.9</v>
      </c>
    </row>
    <row r="33">
      <c r="A33" s="11" t="n">
        <v>45675</v>
      </c>
      <c r="B33" s="20" t="inlineStr">
        <is>
          <t>Sachsen Handel GmbH</t>
        </is>
      </c>
      <c r="C33" s="20" t="inlineStr">
        <is>
          <t>DE-Ost</t>
        </is>
      </c>
      <c r="D33" s="20" t="inlineStr">
        <is>
          <t>Trockensortiment</t>
        </is>
      </c>
      <c r="E33" s="12" t="n">
        <v>62568</v>
      </c>
      <c r="F33" s="12" t="n">
        <v>115750.8</v>
      </c>
      <c r="G33" s="12" t="n">
        <v>126.01</v>
      </c>
      <c r="H33" s="12" t="n">
        <v>86.90000000000001</v>
      </c>
      <c r="J33" s="11" t="n">
        <v>46039</v>
      </c>
      <c r="K33" s="20" t="inlineStr">
        <is>
          <t>Randstad Retail BV</t>
        </is>
      </c>
      <c r="L33" s="20" t="inlineStr">
        <is>
          <t>NL</t>
        </is>
      </c>
      <c r="M33" s="20" t="inlineStr">
        <is>
          <t>Trockensortiment</t>
        </is>
      </c>
      <c r="N33" s="12" t="n">
        <v>50184</v>
      </c>
      <c r="O33" s="12" t="n">
        <v>92840.39999999999</v>
      </c>
      <c r="P33" s="12" t="n">
        <v>101.06</v>
      </c>
      <c r="Q33" s="12" t="n">
        <v>69.7</v>
      </c>
    </row>
    <row r="34">
      <c r="A34" s="11" t="n">
        <v>45675</v>
      </c>
      <c r="B34" s="20" t="inlineStr">
        <is>
          <t>Ruhr Frische GmbH</t>
        </is>
      </c>
      <c r="C34" s="20" t="inlineStr">
        <is>
          <t>DE-West</t>
        </is>
      </c>
      <c r="D34" s="20" t="inlineStr">
        <is>
          <t>Aktionsware</t>
        </is>
      </c>
      <c r="E34" s="12" t="n">
        <v>19224</v>
      </c>
      <c r="F34" s="12" t="n">
        <v>119188.8</v>
      </c>
      <c r="G34" s="12" t="n">
        <v>80.09999999999999</v>
      </c>
      <c r="H34" s="12" t="n">
        <v>53.4</v>
      </c>
      <c r="J34" s="11" t="n">
        <v>46041</v>
      </c>
      <c r="K34" s="20" t="inlineStr">
        <is>
          <t>Hessen Vertrieb GmbH</t>
        </is>
      </c>
      <c r="L34" s="20" t="inlineStr">
        <is>
          <t>DE-Mitte</t>
        </is>
      </c>
      <c r="M34" s="20" t="inlineStr">
        <is>
          <t>Getraenke</t>
        </is>
      </c>
      <c r="N34" s="12" t="n">
        <v>121824</v>
      </c>
      <c r="O34" s="12" t="n">
        <v>115732.8</v>
      </c>
      <c r="P34" s="12" t="n">
        <v>196.7</v>
      </c>
      <c r="Q34" s="12" t="n">
        <v>126.9</v>
      </c>
    </row>
    <row r="35">
      <c r="A35" s="11" t="n">
        <v>45675</v>
      </c>
      <c r="B35" s="20" t="inlineStr">
        <is>
          <t>Ruhr Frische GmbH</t>
        </is>
      </c>
      <c r="C35" s="20" t="inlineStr">
        <is>
          <t>DE-West</t>
        </is>
      </c>
      <c r="D35" s="20" t="inlineStr">
        <is>
          <t>Trockensortiment</t>
        </is>
      </c>
      <c r="E35" s="12" t="n">
        <v>150120</v>
      </c>
      <c r="F35" s="12" t="n">
        <v>277722</v>
      </c>
      <c r="G35" s="12" t="n">
        <v>302.32</v>
      </c>
      <c r="H35" s="12" t="n">
        <v>208.5</v>
      </c>
      <c r="J35" s="11" t="n">
        <v>46041</v>
      </c>
      <c r="K35" s="20" t="inlineStr">
        <is>
          <t>Wisla Retail Sp.</t>
        </is>
      </c>
      <c r="L35" s="20" t="inlineStr">
        <is>
          <t>PL</t>
        </is>
      </c>
      <c r="M35" s="20" t="inlineStr">
        <is>
          <t>Non-Food</t>
        </is>
      </c>
      <c r="N35" s="12" t="n">
        <v>12456</v>
      </c>
      <c r="O35" s="12" t="n">
        <v>155700</v>
      </c>
      <c r="P35" s="12" t="n">
        <v>83.04000000000001</v>
      </c>
      <c r="Q35" s="12" t="n">
        <v>51.9</v>
      </c>
    </row>
    <row r="36">
      <c r="A36" s="11" t="n">
        <v>45676</v>
      </c>
      <c r="B36" s="20" t="inlineStr">
        <is>
          <t>Randstad Retail BV</t>
        </is>
      </c>
      <c r="C36" s="20" t="inlineStr">
        <is>
          <t>NL</t>
        </is>
      </c>
      <c r="D36" s="20" t="inlineStr">
        <is>
          <t>Kuehlware</t>
        </is>
      </c>
      <c r="E36" s="12" t="n">
        <v>22416</v>
      </c>
      <c r="F36" s="12" t="n">
        <v>76214.39999999999</v>
      </c>
      <c r="G36" s="12" t="n">
        <v>60.71</v>
      </c>
      <c r="H36" s="12" t="n">
        <v>46.7</v>
      </c>
      <c r="J36" s="11" t="n">
        <v>46042</v>
      </c>
      <c r="K36" s="20" t="inlineStr">
        <is>
          <t>Rheinland Retail SE</t>
        </is>
      </c>
      <c r="L36" s="20" t="inlineStr">
        <is>
          <t>DE-West</t>
        </is>
      </c>
      <c r="M36" s="20" t="inlineStr">
        <is>
          <t>Getraenke</t>
        </is>
      </c>
      <c r="N36" s="12" t="n">
        <v>208224</v>
      </c>
      <c r="O36" s="12" t="n">
        <v>197812.8</v>
      </c>
      <c r="P36" s="12" t="n">
        <v>336.19</v>
      </c>
      <c r="Q36" s="12" t="n">
        <v>216.9</v>
      </c>
    </row>
    <row r="37">
      <c r="A37" s="11" t="n">
        <v>45677</v>
      </c>
      <c r="B37" s="20" t="inlineStr">
        <is>
          <t>Tirol Handel AG</t>
        </is>
      </c>
      <c r="C37" s="20" t="inlineStr">
        <is>
          <t>AT</t>
        </is>
      </c>
      <c r="D37" s="20" t="inlineStr">
        <is>
          <t>Aktionsware</t>
        </is>
      </c>
      <c r="E37" s="12" t="n">
        <v>4536</v>
      </c>
      <c r="F37" s="12" t="n">
        <v>28123.2</v>
      </c>
      <c r="G37" s="12" t="n">
        <v>18.9</v>
      </c>
      <c r="H37" s="12" t="n">
        <v>12.6</v>
      </c>
      <c r="J37" s="11" t="n">
        <v>46043</v>
      </c>
      <c r="K37" s="20" t="inlineStr">
        <is>
          <t>Wisla Retail Sp.</t>
        </is>
      </c>
      <c r="L37" s="20" t="inlineStr">
        <is>
          <t>PL</t>
        </is>
      </c>
      <c r="M37" s="20" t="inlineStr">
        <is>
          <t>Kuehlware</t>
        </is>
      </c>
      <c r="N37" s="12" t="n">
        <v>7248</v>
      </c>
      <c r="O37" s="12" t="n">
        <v>24643.2</v>
      </c>
      <c r="P37" s="12" t="n">
        <v>19.63</v>
      </c>
      <c r="Q37" s="12" t="n">
        <v>15.1</v>
      </c>
    </row>
    <row r="38">
      <c r="A38" s="11" t="n">
        <v>45677</v>
      </c>
      <c r="B38" s="20" t="inlineStr">
        <is>
          <t>Westfilial AG</t>
        </is>
      </c>
      <c r="C38" s="20" t="inlineStr">
        <is>
          <t>DE-West</t>
        </is>
      </c>
      <c r="D38" s="20" t="inlineStr">
        <is>
          <t>Non-Food</t>
        </is>
      </c>
      <c r="E38" s="12" t="n">
        <v>14952</v>
      </c>
      <c r="F38" s="12" t="n">
        <v>186900</v>
      </c>
      <c r="G38" s="12" t="n">
        <v>99.68000000000001</v>
      </c>
      <c r="H38" s="12" t="n">
        <v>62.3</v>
      </c>
      <c r="J38" s="11" t="n">
        <v>46044</v>
      </c>
      <c r="K38" s="20" t="inlineStr">
        <is>
          <t>Odra Handel Sp.</t>
        </is>
      </c>
      <c r="L38" s="20" t="inlineStr">
        <is>
          <t>PL</t>
        </is>
      </c>
      <c r="M38" s="20" t="inlineStr">
        <is>
          <t>Getraenke</t>
        </is>
      </c>
      <c r="N38" s="12" t="n">
        <v>40896</v>
      </c>
      <c r="O38" s="12" t="n">
        <v>38851.2</v>
      </c>
      <c r="P38" s="12" t="n">
        <v>66.03</v>
      </c>
      <c r="Q38" s="12" t="n">
        <v>42.6</v>
      </c>
    </row>
    <row r="39">
      <c r="A39" s="11" t="n">
        <v>45678</v>
      </c>
      <c r="B39" s="20" t="inlineStr">
        <is>
          <t>Spree Markt AG</t>
        </is>
      </c>
      <c r="C39" s="20" t="inlineStr">
        <is>
          <t>DE-Ost</t>
        </is>
      </c>
      <c r="D39" s="20" t="inlineStr">
        <is>
          <t>Aktionsware</t>
        </is>
      </c>
      <c r="E39" s="12" t="n">
        <v>8784</v>
      </c>
      <c r="F39" s="12" t="n">
        <v>54460.8</v>
      </c>
      <c r="G39" s="12" t="n">
        <v>36.6</v>
      </c>
      <c r="H39" s="12" t="n">
        <v>24.4</v>
      </c>
      <c r="J39" s="11" t="n">
        <v>46046</v>
      </c>
      <c r="K39" s="20" t="inlineStr">
        <is>
          <t>Spree Markt AG</t>
        </is>
      </c>
      <c r="L39" s="20" t="inlineStr">
        <is>
          <t>DE-Ost</t>
        </is>
      </c>
      <c r="M39" s="20" t="inlineStr">
        <is>
          <t>Aktionsware</t>
        </is>
      </c>
      <c r="N39" s="12" t="n">
        <v>9468</v>
      </c>
      <c r="O39" s="12" t="n">
        <v>58701.6</v>
      </c>
      <c r="P39" s="12" t="n">
        <v>39.45</v>
      </c>
      <c r="Q39" s="12" t="n">
        <v>26.3</v>
      </c>
    </row>
    <row r="40">
      <c r="A40" s="11" t="n">
        <v>45678</v>
      </c>
      <c r="B40" s="20" t="inlineStr">
        <is>
          <t>Wisla Retail Sp.</t>
        </is>
      </c>
      <c r="C40" s="20" t="inlineStr">
        <is>
          <t>PL</t>
        </is>
      </c>
      <c r="D40" s="20" t="inlineStr">
        <is>
          <t>Kuehlware</t>
        </is>
      </c>
      <c r="E40" s="12" t="n">
        <v>8592</v>
      </c>
      <c r="F40" s="12" t="n">
        <v>29212.8</v>
      </c>
      <c r="G40" s="12" t="n">
        <v>23.27</v>
      </c>
      <c r="H40" s="12" t="n">
        <v>17.9</v>
      </c>
      <c r="J40" s="11" t="n">
        <v>46046</v>
      </c>
      <c r="K40" s="20" t="inlineStr">
        <is>
          <t>Delta Foods BV</t>
        </is>
      </c>
      <c r="L40" s="20" t="inlineStr">
        <is>
          <t>NL</t>
        </is>
      </c>
      <c r="M40" s="20" t="inlineStr">
        <is>
          <t>Getraenke</t>
        </is>
      </c>
      <c r="N40" s="12" t="n">
        <v>41856</v>
      </c>
      <c r="O40" s="12" t="n">
        <v>39763.2</v>
      </c>
      <c r="P40" s="12" t="n">
        <v>67.58</v>
      </c>
      <c r="Q40" s="12" t="n">
        <v>43.6</v>
      </c>
    </row>
    <row r="41">
      <c r="A41" s="11" t="n">
        <v>45679</v>
      </c>
      <c r="B41" s="20" t="inlineStr">
        <is>
          <t>Austria Markt GmbH</t>
        </is>
      </c>
      <c r="C41" s="20" t="inlineStr">
        <is>
          <t>AT</t>
        </is>
      </c>
      <c r="D41" s="20" t="inlineStr">
        <is>
          <t>Getraenke</t>
        </is>
      </c>
      <c r="E41" s="12" t="n">
        <v>61440</v>
      </c>
      <c r="F41" s="12" t="n">
        <v>58368</v>
      </c>
      <c r="G41" s="12" t="n">
        <v>99.2</v>
      </c>
      <c r="H41" s="12" t="n">
        <v>64</v>
      </c>
      <c r="J41" s="11" t="n">
        <v>46047</v>
      </c>
      <c r="K41" s="20" t="inlineStr">
        <is>
          <t>Austria Markt GmbH</t>
        </is>
      </c>
      <c r="L41" s="20" t="inlineStr">
        <is>
          <t>AT</t>
        </is>
      </c>
      <c r="M41" s="20" t="inlineStr">
        <is>
          <t>Non-Food</t>
        </is>
      </c>
      <c r="N41" s="12" t="n">
        <v>5160</v>
      </c>
      <c r="O41" s="12" t="n">
        <v>64500</v>
      </c>
      <c r="P41" s="12" t="n">
        <v>34.4</v>
      </c>
      <c r="Q41" s="12" t="n">
        <v>21.5</v>
      </c>
    </row>
    <row r="42">
      <c r="A42" s="11" t="n">
        <v>45679</v>
      </c>
      <c r="B42" s="20" t="inlineStr">
        <is>
          <t>Mainpunkt Handel</t>
        </is>
      </c>
      <c r="C42" s="20" t="inlineStr">
        <is>
          <t>DE-Mitte</t>
        </is>
      </c>
      <c r="D42" s="20" t="inlineStr">
        <is>
          <t>Non-Food</t>
        </is>
      </c>
      <c r="E42" s="12" t="n">
        <v>8832</v>
      </c>
      <c r="F42" s="12" t="n">
        <v>110400</v>
      </c>
      <c r="G42" s="12" t="n">
        <v>58.88</v>
      </c>
      <c r="H42" s="12" t="n">
        <v>36.8</v>
      </c>
      <c r="J42" s="11" t="n">
        <v>46047</v>
      </c>
      <c r="K42" s="20" t="inlineStr">
        <is>
          <t>Mainpunkt Handel</t>
        </is>
      </c>
      <c r="L42" s="20" t="inlineStr">
        <is>
          <t>DE-Mitte</t>
        </is>
      </c>
      <c r="M42" s="20" t="inlineStr">
        <is>
          <t>Kuehlware</t>
        </is>
      </c>
      <c r="N42" s="12" t="n">
        <v>34656</v>
      </c>
      <c r="O42" s="12" t="n">
        <v>117830.4</v>
      </c>
      <c r="P42" s="12" t="n">
        <v>93.86</v>
      </c>
      <c r="Q42" s="12" t="n">
        <v>72.2</v>
      </c>
    </row>
    <row r="43">
      <c r="A43" s="11" t="n">
        <v>45679</v>
      </c>
      <c r="B43" s="20" t="inlineStr">
        <is>
          <t>Odra Handel Sp.</t>
        </is>
      </c>
      <c r="C43" s="20" t="inlineStr">
        <is>
          <t>PL</t>
        </is>
      </c>
      <c r="D43" s="20" t="inlineStr">
        <is>
          <t>Getraenke</t>
        </is>
      </c>
      <c r="E43" s="12" t="n">
        <v>34848</v>
      </c>
      <c r="F43" s="12" t="n">
        <v>33105.6</v>
      </c>
      <c r="G43" s="12" t="n">
        <v>56.27</v>
      </c>
      <c r="H43" s="12" t="n">
        <v>36.3</v>
      </c>
      <c r="J43" s="11" t="n">
        <v>46047</v>
      </c>
      <c r="K43" s="20" t="inlineStr">
        <is>
          <t>Nordmarkt AG</t>
        </is>
      </c>
      <c r="L43" s="20" t="inlineStr">
        <is>
          <t>DE-Nord</t>
        </is>
      </c>
      <c r="M43" s="20" t="inlineStr">
        <is>
          <t>Trockensortiment</t>
        </is>
      </c>
      <c r="N43" s="12" t="n">
        <v>114120</v>
      </c>
      <c r="O43" s="12" t="n">
        <v>211122</v>
      </c>
      <c r="P43" s="12" t="n">
        <v>229.82</v>
      </c>
      <c r="Q43" s="12" t="n">
        <v>158.5</v>
      </c>
    </row>
    <row r="44">
      <c r="A44" s="11" t="n">
        <v>45681</v>
      </c>
      <c r="B44" s="20" t="inlineStr">
        <is>
          <t>Hessen Vertrieb GmbH</t>
        </is>
      </c>
      <c r="C44" s="20" t="inlineStr">
        <is>
          <t>DE-Mitte</t>
        </is>
      </c>
      <c r="D44" s="20" t="inlineStr">
        <is>
          <t>Getraenke</t>
        </is>
      </c>
      <c r="E44" s="12" t="n">
        <v>128928</v>
      </c>
      <c r="F44" s="12" t="n">
        <v>122481.6</v>
      </c>
      <c r="G44" s="12" t="n">
        <v>208.17</v>
      </c>
      <c r="H44" s="12" t="n">
        <v>134.3</v>
      </c>
      <c r="J44" s="11" t="n">
        <v>46047</v>
      </c>
      <c r="K44" s="20" t="inlineStr">
        <is>
          <t>Rheinland Retail SE</t>
        </is>
      </c>
      <c r="L44" s="20" t="inlineStr">
        <is>
          <t>DE-West</t>
        </is>
      </c>
      <c r="M44" s="20" t="inlineStr">
        <is>
          <t>Trockensortiment</t>
        </is>
      </c>
      <c r="N44" s="12" t="n">
        <v>144144</v>
      </c>
      <c r="O44" s="12" t="n">
        <v>266666.4</v>
      </c>
      <c r="P44" s="12" t="n">
        <v>290.29</v>
      </c>
      <c r="Q44" s="12" t="n">
        <v>200.2</v>
      </c>
    </row>
    <row r="45">
      <c r="A45" s="11" t="n">
        <v>45682</v>
      </c>
      <c r="B45" s="20" t="inlineStr">
        <is>
          <t>Elbe Handel GmbH</t>
        </is>
      </c>
      <c r="C45" s="20" t="inlineStr">
        <is>
          <t>DE-Nord</t>
        </is>
      </c>
      <c r="D45" s="20" t="inlineStr">
        <is>
          <t>Aktionsware</t>
        </is>
      </c>
      <c r="E45" s="12" t="n">
        <v>10656</v>
      </c>
      <c r="F45" s="12" t="n">
        <v>66067.2</v>
      </c>
      <c r="G45" s="12" t="n">
        <v>44.4</v>
      </c>
      <c r="H45" s="12" t="n">
        <v>29.6</v>
      </c>
      <c r="J45" s="11" t="n">
        <v>46047</v>
      </c>
      <c r="K45" s="20" t="inlineStr">
        <is>
          <t>Odra Handel Sp.</t>
        </is>
      </c>
      <c r="L45" s="20" t="inlineStr">
        <is>
          <t>PL</t>
        </is>
      </c>
      <c r="M45" s="20" t="inlineStr">
        <is>
          <t>Trockensortiment</t>
        </is>
      </c>
      <c r="N45" s="12" t="n">
        <v>25488</v>
      </c>
      <c r="O45" s="12" t="n">
        <v>47152.8</v>
      </c>
      <c r="P45" s="12" t="n">
        <v>51.33</v>
      </c>
      <c r="Q45" s="12" t="n">
        <v>35.4</v>
      </c>
    </row>
    <row r="46">
      <c r="A46" s="11" t="n">
        <v>45689</v>
      </c>
      <c r="B46" s="20" t="inlineStr">
        <is>
          <t>Odra Handel Sp.</t>
        </is>
      </c>
      <c r="C46" s="20" t="inlineStr">
        <is>
          <t>PL</t>
        </is>
      </c>
      <c r="D46" s="20" t="inlineStr">
        <is>
          <t>Non-Food</t>
        </is>
      </c>
      <c r="E46" s="12" t="n">
        <v>11376</v>
      </c>
      <c r="F46" s="12" t="n">
        <v>142200</v>
      </c>
      <c r="G46" s="12" t="n">
        <v>75.84</v>
      </c>
      <c r="H46" s="12" t="n">
        <v>47.4</v>
      </c>
      <c r="J46" s="11" t="n">
        <v>46054</v>
      </c>
      <c r="K46" s="20" t="inlineStr">
        <is>
          <t>Austria Markt GmbH</t>
        </is>
      </c>
      <c r="L46" s="20" t="inlineStr">
        <is>
          <t>AT</t>
        </is>
      </c>
      <c r="M46" s="20" t="inlineStr">
        <is>
          <t>Trockensortiment</t>
        </is>
      </c>
      <c r="N46" s="12" t="n">
        <v>36288</v>
      </c>
      <c r="O46" s="12" t="n">
        <v>67132.8</v>
      </c>
      <c r="P46" s="12" t="n">
        <v>73.08</v>
      </c>
      <c r="Q46" s="12" t="n">
        <v>50.4</v>
      </c>
    </row>
    <row r="47">
      <c r="A47" s="11" t="n">
        <v>45690</v>
      </c>
      <c r="B47" s="20" t="inlineStr">
        <is>
          <t>Randstad Retail BV</t>
        </is>
      </c>
      <c r="C47" s="20" t="inlineStr">
        <is>
          <t>NL</t>
        </is>
      </c>
      <c r="D47" s="20" t="inlineStr">
        <is>
          <t>Aktionsware</t>
        </is>
      </c>
      <c r="E47" s="12" t="n">
        <v>4644</v>
      </c>
      <c r="F47" s="12" t="n">
        <v>28792.8</v>
      </c>
      <c r="G47" s="12" t="n">
        <v>19.35</v>
      </c>
      <c r="H47" s="12" t="n">
        <v>12.9</v>
      </c>
      <c r="J47" s="11" t="n">
        <v>46054</v>
      </c>
      <c r="K47" s="20" t="inlineStr">
        <is>
          <t>Nordmarkt AG</t>
        </is>
      </c>
      <c r="L47" s="20" t="inlineStr">
        <is>
          <t>DE-Nord</t>
        </is>
      </c>
      <c r="M47" s="20" t="inlineStr">
        <is>
          <t>Non-Food</t>
        </is>
      </c>
      <c r="N47" s="12" t="n">
        <v>12048</v>
      </c>
      <c r="O47" s="12" t="n">
        <v>150600</v>
      </c>
      <c r="P47" s="12" t="n">
        <v>80.31999999999999</v>
      </c>
      <c r="Q47" s="12" t="n">
        <v>50.2</v>
      </c>
    </row>
    <row r="48">
      <c r="A48" s="11" t="n">
        <v>45691</v>
      </c>
      <c r="B48" s="20" t="inlineStr">
        <is>
          <t>Spree Markt AG</t>
        </is>
      </c>
      <c r="C48" s="20" t="inlineStr">
        <is>
          <t>DE-Ost</t>
        </is>
      </c>
      <c r="D48" s="20" t="inlineStr">
        <is>
          <t>Non-Food</t>
        </is>
      </c>
      <c r="E48" s="12" t="n">
        <v>6912</v>
      </c>
      <c r="F48" s="12" t="n">
        <v>86400</v>
      </c>
      <c r="G48" s="12" t="n">
        <v>46.08</v>
      </c>
      <c r="H48" s="12" t="n">
        <v>28.8</v>
      </c>
      <c r="J48" s="11" t="n">
        <v>46055</v>
      </c>
      <c r="K48" s="20" t="inlineStr">
        <is>
          <t>Sued Filialen KG</t>
        </is>
      </c>
      <c r="L48" s="20" t="inlineStr">
        <is>
          <t>DE-Sued</t>
        </is>
      </c>
      <c r="M48" s="20" t="inlineStr">
        <is>
          <t>Non-Food</t>
        </is>
      </c>
      <c r="N48" s="12" t="n">
        <v>14112</v>
      </c>
      <c r="O48" s="12" t="n">
        <v>176400</v>
      </c>
      <c r="P48" s="12" t="n">
        <v>94.08</v>
      </c>
      <c r="Q48" s="12" t="n">
        <v>58.8</v>
      </c>
    </row>
    <row r="49">
      <c r="A49" s="11" t="n">
        <v>45692</v>
      </c>
      <c r="B49" s="20" t="inlineStr">
        <is>
          <t>Elbe Handel GmbH</t>
        </is>
      </c>
      <c r="C49" s="20" t="inlineStr">
        <is>
          <t>DE-Nord</t>
        </is>
      </c>
      <c r="D49" s="20" t="inlineStr">
        <is>
          <t>Non-Food</t>
        </is>
      </c>
      <c r="E49" s="12" t="n">
        <v>11544</v>
      </c>
      <c r="F49" s="12" t="n">
        <v>144300</v>
      </c>
      <c r="G49" s="12" t="n">
        <v>76.95999999999999</v>
      </c>
      <c r="H49" s="12" t="n">
        <v>48.1</v>
      </c>
      <c r="J49" s="11" t="n">
        <v>46056</v>
      </c>
      <c r="K49" s="20" t="inlineStr">
        <is>
          <t>Randstad Retail BV</t>
        </is>
      </c>
      <c r="L49" s="20" t="inlineStr">
        <is>
          <t>NL</t>
        </is>
      </c>
      <c r="M49" s="20" t="inlineStr">
        <is>
          <t>Non-Food</t>
        </is>
      </c>
      <c r="N49" s="12" t="n">
        <v>6672</v>
      </c>
      <c r="O49" s="12" t="n">
        <v>83400</v>
      </c>
      <c r="P49" s="12" t="n">
        <v>44.48</v>
      </c>
      <c r="Q49" s="12" t="n">
        <v>27.8</v>
      </c>
    </row>
    <row r="50">
      <c r="A50" s="11" t="n">
        <v>45693</v>
      </c>
      <c r="B50" s="20" t="inlineStr">
        <is>
          <t>Tirol Handel AG</t>
        </is>
      </c>
      <c r="C50" s="20" t="inlineStr">
        <is>
          <t>AT</t>
        </is>
      </c>
      <c r="D50" s="20" t="inlineStr">
        <is>
          <t>Trockensortiment</t>
        </is>
      </c>
      <c r="E50" s="12" t="n">
        <v>32904</v>
      </c>
      <c r="F50" s="12" t="n">
        <v>60872.4</v>
      </c>
      <c r="G50" s="12" t="n">
        <v>66.27</v>
      </c>
      <c r="H50" s="12" t="n">
        <v>45.7</v>
      </c>
      <c r="J50" s="11" t="n">
        <v>46057</v>
      </c>
      <c r="K50" s="20" t="inlineStr">
        <is>
          <t>Spree Markt AG</t>
        </is>
      </c>
      <c r="L50" s="20" t="inlineStr">
        <is>
          <t>DE-Ost</t>
        </is>
      </c>
      <c r="M50" s="20" t="inlineStr">
        <is>
          <t>Trockensortiment</t>
        </is>
      </c>
      <c r="N50" s="12" t="n">
        <v>72504</v>
      </c>
      <c r="O50" s="12" t="n">
        <v>134132.4</v>
      </c>
      <c r="P50" s="12" t="n">
        <v>146.01</v>
      </c>
      <c r="Q50" s="12" t="n">
        <v>100.7</v>
      </c>
    </row>
    <row r="51">
      <c r="A51" s="11" t="n">
        <v>45695</v>
      </c>
      <c r="B51" s="20" t="inlineStr">
        <is>
          <t>Alpenmarkt GmbH</t>
        </is>
      </c>
      <c r="C51" s="20" t="inlineStr">
        <is>
          <t>DE-Sued</t>
        </is>
      </c>
      <c r="D51" s="20" t="inlineStr">
        <is>
          <t>Aktionsware</t>
        </is>
      </c>
      <c r="E51" s="12" t="n">
        <v>12600</v>
      </c>
      <c r="F51" s="12" t="n">
        <v>78120</v>
      </c>
      <c r="G51" s="12" t="n">
        <v>52.5</v>
      </c>
      <c r="H51" s="12" t="n">
        <v>35</v>
      </c>
      <c r="J51" s="11" t="n">
        <v>46057</v>
      </c>
      <c r="K51" s="20" t="inlineStr">
        <is>
          <t>Alpenmarkt GmbH</t>
        </is>
      </c>
      <c r="L51" s="20" t="inlineStr">
        <is>
          <t>DE-Sued</t>
        </is>
      </c>
      <c r="M51" s="20" t="inlineStr">
        <is>
          <t>Trockensortiment</t>
        </is>
      </c>
      <c r="N51" s="12" t="n">
        <v>131616</v>
      </c>
      <c r="O51" s="12" t="n">
        <v>243489.6</v>
      </c>
      <c r="P51" s="12" t="n">
        <v>265.06</v>
      </c>
      <c r="Q51" s="12" t="n">
        <v>182.8</v>
      </c>
    </row>
    <row r="52">
      <c r="A52" s="11" t="n">
        <v>45695</v>
      </c>
      <c r="B52" s="20" t="inlineStr">
        <is>
          <t>Sued Filialen KG</t>
        </is>
      </c>
      <c r="C52" s="20" t="inlineStr">
        <is>
          <t>DE-Sued</t>
        </is>
      </c>
      <c r="D52" s="20" t="inlineStr">
        <is>
          <t>Non-Food</t>
        </is>
      </c>
      <c r="E52" s="12" t="n">
        <v>13392</v>
      </c>
      <c r="F52" s="12" t="n">
        <v>167400</v>
      </c>
      <c r="G52" s="12" t="n">
        <v>89.28</v>
      </c>
      <c r="H52" s="12" t="n">
        <v>55.8</v>
      </c>
      <c r="J52" s="11" t="n">
        <v>46057</v>
      </c>
      <c r="K52" s="20" t="inlineStr">
        <is>
          <t>Delta Foods BV</t>
        </is>
      </c>
      <c r="L52" s="20" t="inlineStr">
        <is>
          <t>NL</t>
        </is>
      </c>
      <c r="M52" s="20" t="inlineStr">
        <is>
          <t>Kuehlware</t>
        </is>
      </c>
      <c r="N52" s="12" t="n">
        <v>22800</v>
      </c>
      <c r="O52" s="12" t="n">
        <v>77520</v>
      </c>
      <c r="P52" s="12" t="n">
        <v>61.75</v>
      </c>
      <c r="Q52" s="12" t="n">
        <v>47.5</v>
      </c>
    </row>
    <row r="53">
      <c r="A53" s="11" t="n">
        <v>45696</v>
      </c>
      <c r="B53" s="20" t="inlineStr">
        <is>
          <t>Austria Markt GmbH</t>
        </is>
      </c>
      <c r="C53" s="20" t="inlineStr">
        <is>
          <t>AT</t>
        </is>
      </c>
      <c r="D53" s="20" t="inlineStr">
        <is>
          <t>Non-Food</t>
        </is>
      </c>
      <c r="E53" s="12" t="n">
        <v>4272</v>
      </c>
      <c r="F53" s="12" t="n">
        <v>53400</v>
      </c>
      <c r="G53" s="12" t="n">
        <v>28.48</v>
      </c>
      <c r="H53" s="12" t="n">
        <v>17.8</v>
      </c>
      <c r="J53" s="11" t="n">
        <v>46058</v>
      </c>
      <c r="K53" s="20" t="inlineStr">
        <is>
          <t>Rheinland Retail SE</t>
        </is>
      </c>
      <c r="L53" s="20" t="inlineStr">
        <is>
          <t>DE-West</t>
        </is>
      </c>
      <c r="M53" s="20" t="inlineStr">
        <is>
          <t>Getraenke</t>
        </is>
      </c>
      <c r="N53" s="12" t="n">
        <v>216480</v>
      </c>
      <c r="O53" s="12" t="n">
        <v>205656</v>
      </c>
      <c r="P53" s="12" t="n">
        <v>349.53</v>
      </c>
      <c r="Q53" s="12" t="n">
        <v>225.5</v>
      </c>
    </row>
    <row r="54">
      <c r="A54" s="11" t="n">
        <v>45696</v>
      </c>
      <c r="B54" s="20" t="inlineStr">
        <is>
          <t>Ruhr Frische GmbH</t>
        </is>
      </c>
      <c r="C54" s="20" t="inlineStr">
        <is>
          <t>DE-West</t>
        </is>
      </c>
      <c r="D54" s="20" t="inlineStr">
        <is>
          <t>Non-Food</t>
        </is>
      </c>
      <c r="E54" s="12" t="n">
        <v>17424</v>
      </c>
      <c r="F54" s="12" t="n">
        <v>217800</v>
      </c>
      <c r="G54" s="12" t="n">
        <v>116.16</v>
      </c>
      <c r="H54" s="12" t="n">
        <v>72.59999999999999</v>
      </c>
      <c r="J54" s="11" t="n">
        <v>46058</v>
      </c>
      <c r="K54" s="20" t="inlineStr">
        <is>
          <t>Wisla Retail Sp.</t>
        </is>
      </c>
      <c r="L54" s="20" t="inlineStr">
        <is>
          <t>PL</t>
        </is>
      </c>
      <c r="M54" s="20" t="inlineStr">
        <is>
          <t>Aktionsware</t>
        </is>
      </c>
      <c r="N54" s="12" t="n">
        <v>21780</v>
      </c>
      <c r="O54" s="12" t="n">
        <v>135036</v>
      </c>
      <c r="P54" s="12" t="n">
        <v>90.75</v>
      </c>
      <c r="Q54" s="12" t="n">
        <v>60.5</v>
      </c>
    </row>
    <row r="55">
      <c r="A55" s="11" t="n">
        <v>45697</v>
      </c>
      <c r="B55" s="20" t="inlineStr">
        <is>
          <t>Austria Markt GmbH</t>
        </is>
      </c>
      <c r="C55" s="20" t="inlineStr">
        <is>
          <t>AT</t>
        </is>
      </c>
      <c r="D55" s="20" t="inlineStr">
        <is>
          <t>Getraenke</t>
        </is>
      </c>
      <c r="E55" s="12" t="n">
        <v>66912</v>
      </c>
      <c r="F55" s="12" t="n">
        <v>63566.4</v>
      </c>
      <c r="G55" s="12" t="n">
        <v>108.04</v>
      </c>
      <c r="H55" s="12" t="n">
        <v>69.7</v>
      </c>
      <c r="J55" s="11" t="n">
        <v>46058</v>
      </c>
      <c r="K55" s="20" t="inlineStr">
        <is>
          <t>Odra Handel Sp.</t>
        </is>
      </c>
      <c r="L55" s="20" t="inlineStr">
        <is>
          <t>PL</t>
        </is>
      </c>
      <c r="M55" s="20" t="inlineStr">
        <is>
          <t>Non-Food</t>
        </is>
      </c>
      <c r="N55" s="12" t="n">
        <v>10872</v>
      </c>
      <c r="O55" s="12" t="n">
        <v>135900</v>
      </c>
      <c r="P55" s="12" t="n">
        <v>72.48</v>
      </c>
      <c r="Q55" s="12" t="n">
        <v>45.3</v>
      </c>
    </row>
    <row r="56">
      <c r="A56" s="11" t="n">
        <v>45697</v>
      </c>
      <c r="B56" s="20" t="inlineStr">
        <is>
          <t>Sachsen Handel GmbH</t>
        </is>
      </c>
      <c r="C56" s="20" t="inlineStr">
        <is>
          <t>DE-Ost</t>
        </is>
      </c>
      <c r="D56" s="20" t="inlineStr">
        <is>
          <t>Getraenke</t>
        </is>
      </c>
      <c r="E56" s="12" t="n">
        <v>121248</v>
      </c>
      <c r="F56" s="12" t="n">
        <v>115185.6</v>
      </c>
      <c r="G56" s="12" t="n">
        <v>195.77</v>
      </c>
      <c r="H56" s="12" t="n">
        <v>126.3</v>
      </c>
      <c r="J56" s="11" t="n">
        <v>46059</v>
      </c>
      <c r="K56" s="20" t="inlineStr">
        <is>
          <t>Mainpunkt Handel</t>
        </is>
      </c>
      <c r="L56" s="20" t="inlineStr">
        <is>
          <t>DE-Mitte</t>
        </is>
      </c>
      <c r="M56" s="20" t="inlineStr">
        <is>
          <t>Kuehlware</t>
        </is>
      </c>
      <c r="N56" s="12" t="n">
        <v>31392</v>
      </c>
      <c r="O56" s="12" t="n">
        <v>106732.8</v>
      </c>
      <c r="P56" s="12" t="n">
        <v>85.02</v>
      </c>
      <c r="Q56" s="12" t="n">
        <v>65.40000000000001</v>
      </c>
    </row>
    <row r="57">
      <c r="A57" s="11" t="n">
        <v>45697</v>
      </c>
      <c r="B57" s="20" t="inlineStr">
        <is>
          <t>Sachsen Handel GmbH</t>
        </is>
      </c>
      <c r="C57" s="20" t="inlineStr">
        <is>
          <t>DE-Ost</t>
        </is>
      </c>
      <c r="D57" s="20" t="inlineStr">
        <is>
          <t>Kuehlware</t>
        </is>
      </c>
      <c r="E57" s="12" t="n">
        <v>32928</v>
      </c>
      <c r="F57" s="12" t="n">
        <v>111955.2</v>
      </c>
      <c r="G57" s="12" t="n">
        <v>89.18000000000001</v>
      </c>
      <c r="H57" s="12" t="n">
        <v>68.59999999999999</v>
      </c>
      <c r="J57" s="11" t="n">
        <v>46060</v>
      </c>
      <c r="K57" s="20" t="inlineStr">
        <is>
          <t>Kuestenlager KG</t>
        </is>
      </c>
      <c r="L57" s="20" t="inlineStr">
        <is>
          <t>DE-Nord</t>
        </is>
      </c>
      <c r="M57" s="20" t="inlineStr">
        <is>
          <t>Trockensortiment</t>
        </is>
      </c>
      <c r="N57" s="12" t="n">
        <v>133272</v>
      </c>
      <c r="O57" s="12" t="n">
        <v>246553.2</v>
      </c>
      <c r="P57" s="12" t="n">
        <v>268.39</v>
      </c>
      <c r="Q57" s="12" t="n">
        <v>185.1</v>
      </c>
    </row>
    <row r="58">
      <c r="A58" s="11" t="n">
        <v>45697</v>
      </c>
      <c r="B58" s="20" t="inlineStr">
        <is>
          <t>Westfilial AG</t>
        </is>
      </c>
      <c r="C58" s="20" t="inlineStr">
        <is>
          <t>DE-West</t>
        </is>
      </c>
      <c r="D58" s="20" t="inlineStr">
        <is>
          <t>Trockensortiment</t>
        </is>
      </c>
      <c r="E58" s="12" t="n">
        <v>149400</v>
      </c>
      <c r="F58" s="12" t="n">
        <v>276390</v>
      </c>
      <c r="G58" s="12" t="n">
        <v>300.88</v>
      </c>
      <c r="H58" s="12" t="n">
        <v>207.5</v>
      </c>
      <c r="J58" s="11" t="n">
        <v>46060</v>
      </c>
      <c r="K58" s="20" t="inlineStr">
        <is>
          <t>Rheinland Retail SE</t>
        </is>
      </c>
      <c r="L58" s="20" t="inlineStr">
        <is>
          <t>DE-West</t>
        </is>
      </c>
      <c r="M58" s="20" t="inlineStr">
        <is>
          <t>Non-Food</t>
        </is>
      </c>
      <c r="N58" s="12" t="n">
        <v>15624</v>
      </c>
      <c r="O58" s="12" t="n">
        <v>195300</v>
      </c>
      <c r="P58" s="12" t="n">
        <v>104.16</v>
      </c>
      <c r="Q58" s="12" t="n">
        <v>65.09999999999999</v>
      </c>
    </row>
    <row r="59">
      <c r="A59" s="11" t="n">
        <v>45698</v>
      </c>
      <c r="B59" s="20" t="inlineStr">
        <is>
          <t>Hessen Vertrieb GmbH</t>
        </is>
      </c>
      <c r="C59" s="20" t="inlineStr">
        <is>
          <t>DE-Mitte</t>
        </is>
      </c>
      <c r="D59" s="20" t="inlineStr">
        <is>
          <t>Non-Food</t>
        </is>
      </c>
      <c r="E59" s="12" t="n">
        <v>9288</v>
      </c>
      <c r="F59" s="12" t="n">
        <v>116100</v>
      </c>
      <c r="G59" s="12" t="n">
        <v>61.92</v>
      </c>
      <c r="H59" s="12" t="n">
        <v>38.7</v>
      </c>
      <c r="J59" s="11" t="n">
        <v>46060</v>
      </c>
      <c r="K59" s="20" t="inlineStr">
        <is>
          <t>Delta Foods BV</t>
        </is>
      </c>
      <c r="L59" s="20" t="inlineStr">
        <is>
          <t>NL</t>
        </is>
      </c>
      <c r="M59" s="20" t="inlineStr">
        <is>
          <t>Getraenke</t>
        </is>
      </c>
      <c r="N59" s="12" t="n">
        <v>56832</v>
      </c>
      <c r="O59" s="12" t="n">
        <v>53990.4</v>
      </c>
      <c r="P59" s="12" t="n">
        <v>91.76000000000001</v>
      </c>
      <c r="Q59" s="12" t="n">
        <v>59.2</v>
      </c>
    </row>
    <row r="60">
      <c r="A60" s="11" t="n">
        <v>45698</v>
      </c>
      <c r="B60" s="20" t="inlineStr">
        <is>
          <t>Wisla Retail Sp.</t>
        </is>
      </c>
      <c r="C60" s="20" t="inlineStr">
        <is>
          <t>PL</t>
        </is>
      </c>
      <c r="D60" s="20" t="inlineStr">
        <is>
          <t>Kuehlware</t>
        </is>
      </c>
      <c r="E60" s="12" t="n">
        <v>9264</v>
      </c>
      <c r="F60" s="12" t="n">
        <v>31497.6</v>
      </c>
      <c r="G60" s="12" t="n">
        <v>25.09</v>
      </c>
      <c r="H60" s="12" t="n">
        <v>19.3</v>
      </c>
      <c r="J60" s="11" t="n">
        <v>46061</v>
      </c>
      <c r="K60" s="20" t="inlineStr">
        <is>
          <t>Tirol Handel AG</t>
        </is>
      </c>
      <c r="L60" s="20" t="inlineStr">
        <is>
          <t>AT</t>
        </is>
      </c>
      <c r="M60" s="20" t="inlineStr">
        <is>
          <t>Kuehlware</t>
        </is>
      </c>
      <c r="N60" s="12" t="n">
        <v>14784</v>
      </c>
      <c r="O60" s="12" t="n">
        <v>50265.6</v>
      </c>
      <c r="P60" s="12" t="n">
        <v>40.04</v>
      </c>
      <c r="Q60" s="12" t="n">
        <v>30.8</v>
      </c>
    </row>
    <row r="61">
      <c r="A61" s="11" t="n">
        <v>45699</v>
      </c>
      <c r="B61" s="20" t="inlineStr">
        <is>
          <t>Donau Handel AG</t>
        </is>
      </c>
      <c r="C61" s="20" t="inlineStr">
        <is>
          <t>DE-Sued</t>
        </is>
      </c>
      <c r="D61" s="20" t="inlineStr">
        <is>
          <t>Trockensortiment</t>
        </is>
      </c>
      <c r="E61" s="12" t="n">
        <v>124632</v>
      </c>
      <c r="F61" s="12" t="n">
        <v>230569.2</v>
      </c>
      <c r="G61" s="12" t="n">
        <v>250.99</v>
      </c>
      <c r="H61" s="12" t="n">
        <v>173.1</v>
      </c>
      <c r="J61" s="11" t="n">
        <v>46061</v>
      </c>
      <c r="K61" s="20" t="inlineStr">
        <is>
          <t>Sachsen Handel GmbH</t>
        </is>
      </c>
      <c r="L61" s="20" t="inlineStr">
        <is>
          <t>DE-Ost</t>
        </is>
      </c>
      <c r="M61" s="20" t="inlineStr">
        <is>
          <t>Aktionsware</t>
        </is>
      </c>
      <c r="N61" s="12" t="n">
        <v>9216</v>
      </c>
      <c r="O61" s="12" t="n">
        <v>57139.2</v>
      </c>
      <c r="P61" s="12" t="n">
        <v>38.4</v>
      </c>
      <c r="Q61" s="12" t="n">
        <v>25.6</v>
      </c>
    </row>
    <row r="62">
      <c r="A62" s="11" t="n">
        <v>45699</v>
      </c>
      <c r="B62" s="20" t="inlineStr">
        <is>
          <t>Delta Foods BV</t>
        </is>
      </c>
      <c r="C62" s="20" t="inlineStr">
        <is>
          <t>NL</t>
        </is>
      </c>
      <c r="D62" s="20" t="inlineStr">
        <is>
          <t>Non-Food</t>
        </is>
      </c>
      <c r="E62" s="12" t="n">
        <v>6048</v>
      </c>
      <c r="F62" s="12" t="n">
        <v>75600</v>
      </c>
      <c r="G62" s="12" t="n">
        <v>40.32</v>
      </c>
      <c r="H62" s="12" t="n">
        <v>25.2</v>
      </c>
      <c r="J62" s="11" t="n">
        <v>46061</v>
      </c>
      <c r="K62" s="20" t="inlineStr">
        <is>
          <t>Sued Filialen KG</t>
        </is>
      </c>
      <c r="L62" s="20" t="inlineStr">
        <is>
          <t>DE-Sued</t>
        </is>
      </c>
      <c r="M62" s="20" t="inlineStr">
        <is>
          <t>Aktionsware</t>
        </is>
      </c>
      <c r="N62" s="12" t="n">
        <v>12960</v>
      </c>
      <c r="O62" s="12" t="n">
        <v>80352</v>
      </c>
      <c r="P62" s="12" t="n">
        <v>54</v>
      </c>
      <c r="Q62" s="12" t="n">
        <v>36</v>
      </c>
    </row>
    <row r="63">
      <c r="A63" s="11" t="n">
        <v>45700</v>
      </c>
      <c r="B63" s="20" t="inlineStr">
        <is>
          <t>Sachsen Handel GmbH</t>
        </is>
      </c>
      <c r="C63" s="20" t="inlineStr">
        <is>
          <t>DE-Ost</t>
        </is>
      </c>
      <c r="D63" s="20" t="inlineStr">
        <is>
          <t>Aktionsware</t>
        </is>
      </c>
      <c r="E63" s="12" t="n">
        <v>9072</v>
      </c>
      <c r="F63" s="12" t="n">
        <v>56246.4</v>
      </c>
      <c r="G63" s="12" t="n">
        <v>37.8</v>
      </c>
      <c r="H63" s="12" t="n">
        <v>25.2</v>
      </c>
      <c r="J63" s="11" t="n">
        <v>46061</v>
      </c>
      <c r="K63" s="20" t="inlineStr">
        <is>
          <t>Ruhr Frische GmbH</t>
        </is>
      </c>
      <c r="L63" s="20" t="inlineStr">
        <is>
          <t>DE-West</t>
        </is>
      </c>
      <c r="M63" s="20" t="inlineStr">
        <is>
          <t>Aktionsware</t>
        </is>
      </c>
      <c r="N63" s="12" t="n">
        <v>17244</v>
      </c>
      <c r="O63" s="12" t="n">
        <v>106912.8</v>
      </c>
      <c r="P63" s="12" t="n">
        <v>71.84999999999999</v>
      </c>
      <c r="Q63" s="12" t="n">
        <v>47.9</v>
      </c>
    </row>
    <row r="64">
      <c r="A64" s="11" t="n">
        <v>45700</v>
      </c>
      <c r="B64" s="20" t="inlineStr">
        <is>
          <t>Donau Handel AG</t>
        </is>
      </c>
      <c r="C64" s="20" t="inlineStr">
        <is>
          <t>DE-Sued</t>
        </is>
      </c>
      <c r="D64" s="20" t="inlineStr">
        <is>
          <t>Getraenke</t>
        </is>
      </c>
      <c r="E64" s="12" t="n">
        <v>221760</v>
      </c>
      <c r="F64" s="12" t="n">
        <v>210672</v>
      </c>
      <c r="G64" s="12" t="n">
        <v>358.05</v>
      </c>
      <c r="H64" s="12" t="n">
        <v>231</v>
      </c>
      <c r="J64" s="11" t="n">
        <v>46062</v>
      </c>
      <c r="K64" s="20" t="inlineStr">
        <is>
          <t>Kuestenlager KG</t>
        </is>
      </c>
      <c r="L64" s="20" t="inlineStr">
        <is>
          <t>DE-Nord</t>
        </is>
      </c>
      <c r="M64" s="20" t="inlineStr">
        <is>
          <t>Getraenke</t>
        </is>
      </c>
      <c r="N64" s="12" t="n">
        <v>145920</v>
      </c>
      <c r="O64" s="12" t="n">
        <v>138624</v>
      </c>
      <c r="P64" s="12" t="n">
        <v>235.6</v>
      </c>
      <c r="Q64" s="12" t="n">
        <v>152</v>
      </c>
    </row>
    <row r="65">
      <c r="A65" s="11" t="n">
        <v>45701</v>
      </c>
      <c r="B65" s="20" t="inlineStr">
        <is>
          <t>Delta Foods BV</t>
        </is>
      </c>
      <c r="C65" s="20" t="inlineStr">
        <is>
          <t>NL</t>
        </is>
      </c>
      <c r="D65" s="20" t="inlineStr">
        <is>
          <t>Getraenke</t>
        </is>
      </c>
      <c r="E65" s="12" t="n">
        <v>54432</v>
      </c>
      <c r="F65" s="12" t="n">
        <v>51710.4</v>
      </c>
      <c r="G65" s="12" t="n">
        <v>87.89</v>
      </c>
      <c r="H65" s="12" t="n">
        <v>56.7</v>
      </c>
      <c r="J65" s="11" t="n">
        <v>46063</v>
      </c>
      <c r="K65" s="20" t="inlineStr">
        <is>
          <t>Wisla Retail Sp.</t>
        </is>
      </c>
      <c r="L65" s="20" t="inlineStr">
        <is>
          <t>PL</t>
        </is>
      </c>
      <c r="M65" s="20" t="inlineStr">
        <is>
          <t>Getraenke</t>
        </is>
      </c>
      <c r="N65" s="12" t="n">
        <v>42624</v>
      </c>
      <c r="O65" s="12" t="n">
        <v>40492.8</v>
      </c>
      <c r="P65" s="12" t="n">
        <v>68.81999999999999</v>
      </c>
      <c r="Q65" s="12" t="n">
        <v>44.4</v>
      </c>
    </row>
    <row r="66">
      <c r="A66" s="11" t="n">
        <v>45703</v>
      </c>
      <c r="B66" s="20" t="inlineStr">
        <is>
          <t>Mainpunkt Handel</t>
        </is>
      </c>
      <c r="C66" s="20" t="inlineStr">
        <is>
          <t>DE-Mitte</t>
        </is>
      </c>
      <c r="D66" s="20" t="inlineStr">
        <is>
          <t>Getraenke</t>
        </is>
      </c>
      <c r="E66" s="12" t="n">
        <v>135456</v>
      </c>
      <c r="F66" s="12" t="n">
        <v>128683.2</v>
      </c>
      <c r="G66" s="12" t="n">
        <v>218.7</v>
      </c>
      <c r="H66" s="12" t="n">
        <v>141.1</v>
      </c>
      <c r="J66" s="11" t="n">
        <v>46064</v>
      </c>
      <c r="K66" s="20" t="inlineStr">
        <is>
          <t>Tirol Handel AG</t>
        </is>
      </c>
      <c r="L66" s="20" t="inlineStr">
        <is>
          <t>AT</t>
        </is>
      </c>
      <c r="M66" s="20" t="inlineStr">
        <is>
          <t>Aktionsware</t>
        </is>
      </c>
      <c r="N66" s="12" t="n">
        <v>4176</v>
      </c>
      <c r="O66" s="12" t="n">
        <v>25891.2</v>
      </c>
      <c r="P66" s="12" t="n">
        <v>17.4</v>
      </c>
      <c r="Q66" s="12" t="n">
        <v>11.6</v>
      </c>
    </row>
    <row r="67">
      <c r="A67" s="11" t="n">
        <v>45703</v>
      </c>
      <c r="B67" s="20" t="inlineStr">
        <is>
          <t>Kuestenlager KG</t>
        </is>
      </c>
      <c r="C67" s="20" t="inlineStr">
        <is>
          <t>DE-Nord</t>
        </is>
      </c>
      <c r="D67" s="20" t="inlineStr">
        <is>
          <t>Trockensortiment</t>
        </is>
      </c>
      <c r="E67" s="12" t="n">
        <v>131040</v>
      </c>
      <c r="F67" s="12" t="n">
        <v>242424</v>
      </c>
      <c r="G67" s="12" t="n">
        <v>263.9</v>
      </c>
      <c r="H67" s="12" t="n">
        <v>182</v>
      </c>
      <c r="J67" s="11" t="n">
        <v>46064</v>
      </c>
      <c r="K67" s="20" t="inlineStr">
        <is>
          <t>Hessen Vertrieb GmbH</t>
        </is>
      </c>
      <c r="L67" s="20" t="inlineStr">
        <is>
          <t>DE-Mitte</t>
        </is>
      </c>
      <c r="M67" s="20" t="inlineStr">
        <is>
          <t>Non-Food</t>
        </is>
      </c>
      <c r="N67" s="12" t="n">
        <v>10200</v>
      </c>
      <c r="O67" s="12" t="n">
        <v>127500</v>
      </c>
      <c r="P67" s="12" t="n">
        <v>68</v>
      </c>
      <c r="Q67" s="12" t="n">
        <v>42.5</v>
      </c>
    </row>
    <row r="68">
      <c r="A68" s="11" t="n">
        <v>45703</v>
      </c>
      <c r="B68" s="20" t="inlineStr">
        <is>
          <t>Randstad Retail BV</t>
        </is>
      </c>
      <c r="C68" s="20" t="inlineStr">
        <is>
          <t>NL</t>
        </is>
      </c>
      <c r="D68" s="20" t="inlineStr">
        <is>
          <t>Kuehlware</t>
        </is>
      </c>
      <c r="E68" s="12" t="n">
        <v>23856</v>
      </c>
      <c r="F68" s="12" t="n">
        <v>81110.39999999999</v>
      </c>
      <c r="G68" s="12" t="n">
        <v>64.61</v>
      </c>
      <c r="H68" s="12" t="n">
        <v>49.7</v>
      </c>
      <c r="J68" s="11" t="n">
        <v>46064</v>
      </c>
      <c r="K68" s="20" t="inlineStr">
        <is>
          <t>Kuestenlager KG</t>
        </is>
      </c>
      <c r="L68" s="20" t="inlineStr">
        <is>
          <t>DE-Nord</t>
        </is>
      </c>
      <c r="M68" s="20" t="inlineStr">
        <is>
          <t>Kuehlware</t>
        </is>
      </c>
      <c r="N68" s="12" t="n">
        <v>59472</v>
      </c>
      <c r="O68" s="12" t="n">
        <v>202204.8</v>
      </c>
      <c r="P68" s="12" t="n">
        <v>161.07</v>
      </c>
      <c r="Q68" s="12" t="n">
        <v>123.9</v>
      </c>
    </row>
    <row r="69">
      <c r="A69" s="11" t="n">
        <v>45703</v>
      </c>
      <c r="B69" s="20" t="inlineStr">
        <is>
          <t>Odra Handel Sp.</t>
        </is>
      </c>
      <c r="C69" s="20" t="inlineStr">
        <is>
          <t>PL</t>
        </is>
      </c>
      <c r="D69" s="20" t="inlineStr">
        <is>
          <t>Aktionsware</t>
        </is>
      </c>
      <c r="E69" s="12" t="n">
        <v>18864</v>
      </c>
      <c r="F69" s="12" t="n">
        <v>116956.8</v>
      </c>
      <c r="G69" s="12" t="n">
        <v>78.59999999999999</v>
      </c>
      <c r="H69" s="12" t="n">
        <v>52.4</v>
      </c>
      <c r="J69" s="11" t="n">
        <v>46064</v>
      </c>
      <c r="K69" s="20" t="inlineStr">
        <is>
          <t>Sachsen Handel GmbH</t>
        </is>
      </c>
      <c r="L69" s="20" t="inlineStr">
        <is>
          <t>DE-Ost</t>
        </is>
      </c>
      <c r="M69" s="20" t="inlineStr">
        <is>
          <t>Non-Food</t>
        </is>
      </c>
      <c r="N69" s="12" t="n">
        <v>7968</v>
      </c>
      <c r="O69" s="12" t="n">
        <v>99600</v>
      </c>
      <c r="P69" s="12" t="n">
        <v>53.12</v>
      </c>
      <c r="Q69" s="12" t="n">
        <v>33.2</v>
      </c>
    </row>
    <row r="70">
      <c r="A70" s="11" t="n">
        <v>45704</v>
      </c>
      <c r="B70" s="20" t="inlineStr">
        <is>
          <t>Sachsen Handel GmbH</t>
        </is>
      </c>
      <c r="C70" s="20" t="inlineStr">
        <is>
          <t>DE-Ost</t>
        </is>
      </c>
      <c r="D70" s="20" t="inlineStr">
        <is>
          <t>Trockensortiment</t>
        </is>
      </c>
      <c r="E70" s="12" t="n">
        <v>67536</v>
      </c>
      <c r="F70" s="12" t="n">
        <v>124941.6</v>
      </c>
      <c r="G70" s="12" t="n">
        <v>136.01</v>
      </c>
      <c r="H70" s="12" t="n">
        <v>93.8</v>
      </c>
      <c r="J70" s="11" t="n">
        <v>46065</v>
      </c>
      <c r="K70" s="20" t="inlineStr">
        <is>
          <t>Mainpunkt Handel</t>
        </is>
      </c>
      <c r="L70" s="20" t="inlineStr">
        <is>
          <t>DE-Mitte</t>
        </is>
      </c>
      <c r="M70" s="20" t="inlineStr">
        <is>
          <t>Trockensortiment</t>
        </is>
      </c>
      <c r="N70" s="12" t="n">
        <v>85392</v>
      </c>
      <c r="O70" s="12" t="n">
        <v>157975.2</v>
      </c>
      <c r="P70" s="12" t="n">
        <v>171.97</v>
      </c>
      <c r="Q70" s="12" t="n">
        <v>118.6</v>
      </c>
    </row>
    <row r="71">
      <c r="A71" s="11" t="n">
        <v>45705</v>
      </c>
      <c r="B71" s="20" t="inlineStr">
        <is>
          <t>Austria Markt GmbH</t>
        </is>
      </c>
      <c r="C71" s="20" t="inlineStr">
        <is>
          <t>AT</t>
        </is>
      </c>
      <c r="D71" s="20" t="inlineStr">
        <is>
          <t>Aktionsware</t>
        </is>
      </c>
      <c r="E71" s="12" t="n">
        <v>4500</v>
      </c>
      <c r="F71" s="12" t="n">
        <v>27900</v>
      </c>
      <c r="G71" s="12" t="n">
        <v>18.75</v>
      </c>
      <c r="H71" s="12" t="n">
        <v>12.5</v>
      </c>
      <c r="J71" s="11" t="n">
        <v>46066</v>
      </c>
      <c r="K71" s="20" t="inlineStr">
        <is>
          <t>Alpenmarkt GmbH</t>
        </is>
      </c>
      <c r="L71" s="20" t="inlineStr">
        <is>
          <t>DE-Sued</t>
        </is>
      </c>
      <c r="M71" s="20" t="inlineStr">
        <is>
          <t>Kuehlware</t>
        </is>
      </c>
      <c r="N71" s="12" t="n">
        <v>44304</v>
      </c>
      <c r="O71" s="12" t="n">
        <v>150633.6</v>
      </c>
      <c r="P71" s="12" t="n">
        <v>119.99</v>
      </c>
      <c r="Q71" s="12" t="n">
        <v>92.3</v>
      </c>
    </row>
    <row r="72">
      <c r="A72" s="11" t="n">
        <v>45705</v>
      </c>
      <c r="B72" s="20" t="inlineStr">
        <is>
          <t>Sued Filialen KG</t>
        </is>
      </c>
      <c r="C72" s="20" t="inlineStr">
        <is>
          <t>DE-Sued</t>
        </is>
      </c>
      <c r="D72" s="20" t="inlineStr">
        <is>
          <t>Kuehlware</t>
        </is>
      </c>
      <c r="E72" s="12" t="n">
        <v>50784</v>
      </c>
      <c r="F72" s="12" t="n">
        <v>172665.6</v>
      </c>
      <c r="G72" s="12" t="n">
        <v>137.54</v>
      </c>
      <c r="H72" s="12" t="n">
        <v>105.8</v>
      </c>
      <c r="J72" s="11" t="n">
        <v>46067</v>
      </c>
      <c r="K72" s="20" t="inlineStr">
        <is>
          <t>Austria Markt GmbH</t>
        </is>
      </c>
      <c r="L72" s="20" t="inlineStr">
        <is>
          <t>AT</t>
        </is>
      </c>
      <c r="M72" s="20" t="inlineStr">
        <is>
          <t>Getraenke</t>
        </is>
      </c>
      <c r="N72" s="12" t="n">
        <v>57120</v>
      </c>
      <c r="O72" s="12" t="n">
        <v>54264</v>
      </c>
      <c r="P72" s="12" t="n">
        <v>92.23</v>
      </c>
      <c r="Q72" s="12" t="n">
        <v>59.5</v>
      </c>
    </row>
    <row r="73">
      <c r="A73" s="11" t="n">
        <v>45706</v>
      </c>
      <c r="B73" s="20" t="inlineStr">
        <is>
          <t>Delta Foods BV</t>
        </is>
      </c>
      <c r="C73" s="20" t="inlineStr">
        <is>
          <t>NL</t>
        </is>
      </c>
      <c r="D73" s="20" t="inlineStr">
        <is>
          <t>Trockensortiment</t>
        </is>
      </c>
      <c r="E73" s="12" t="n">
        <v>48240</v>
      </c>
      <c r="F73" s="12" t="n">
        <v>89244</v>
      </c>
      <c r="G73" s="12" t="n">
        <v>97.15000000000001</v>
      </c>
      <c r="H73" s="12" t="n">
        <v>67</v>
      </c>
      <c r="J73" s="11" t="n">
        <v>46067</v>
      </c>
      <c r="K73" s="20" t="inlineStr">
        <is>
          <t>Hessen Vertrieb GmbH</t>
        </is>
      </c>
      <c r="L73" s="20" t="inlineStr">
        <is>
          <t>DE-Mitte</t>
        </is>
      </c>
      <c r="M73" s="20" t="inlineStr">
        <is>
          <t>Getraenke</t>
        </is>
      </c>
      <c r="N73" s="12" t="n">
        <v>140064</v>
      </c>
      <c r="O73" s="12" t="n">
        <v>133060.8</v>
      </c>
      <c r="P73" s="12" t="n">
        <v>226.15</v>
      </c>
      <c r="Q73" s="12" t="n">
        <v>145.9</v>
      </c>
    </row>
    <row r="74">
      <c r="A74" s="11" t="n">
        <v>45707</v>
      </c>
      <c r="B74" s="20" t="inlineStr">
        <is>
          <t>Tirol Handel AG</t>
        </is>
      </c>
      <c r="C74" s="20" t="inlineStr">
        <is>
          <t>AT</t>
        </is>
      </c>
      <c r="D74" s="20" t="inlineStr">
        <is>
          <t>Kuehlware</t>
        </is>
      </c>
      <c r="E74" s="12" t="n">
        <v>14544</v>
      </c>
      <c r="F74" s="12" t="n">
        <v>49449.6</v>
      </c>
      <c r="G74" s="12" t="n">
        <v>39.39</v>
      </c>
      <c r="H74" s="12" t="n">
        <v>30.3</v>
      </c>
      <c r="J74" s="11" t="n">
        <v>46067</v>
      </c>
      <c r="K74" s="20" t="inlineStr">
        <is>
          <t>Ruhr Frische GmbH</t>
        </is>
      </c>
      <c r="L74" s="20" t="inlineStr">
        <is>
          <t>DE-West</t>
        </is>
      </c>
      <c r="M74" s="20" t="inlineStr">
        <is>
          <t>Kuehlware</t>
        </is>
      </c>
      <c r="N74" s="12" t="n">
        <v>56208</v>
      </c>
      <c r="O74" s="12" t="n">
        <v>191107.2</v>
      </c>
      <c r="P74" s="12" t="n">
        <v>152.23</v>
      </c>
      <c r="Q74" s="12" t="n">
        <v>117.1</v>
      </c>
    </row>
    <row r="75">
      <c r="A75" s="11" t="n">
        <v>45707</v>
      </c>
      <c r="B75" s="20" t="inlineStr">
        <is>
          <t>Wisla Retail Sp.</t>
        </is>
      </c>
      <c r="C75" s="20" t="inlineStr">
        <is>
          <t>PL</t>
        </is>
      </c>
      <c r="D75" s="20" t="inlineStr">
        <is>
          <t>Getraenke</t>
        </is>
      </c>
      <c r="E75" s="12" t="n">
        <v>43968</v>
      </c>
      <c r="F75" s="12" t="n">
        <v>41769.6</v>
      </c>
      <c r="G75" s="12" t="n">
        <v>70.98999999999999</v>
      </c>
      <c r="H75" s="12" t="n">
        <v>45.8</v>
      </c>
      <c r="J75" s="11" t="n">
        <v>46068</v>
      </c>
      <c r="K75" s="20" t="inlineStr">
        <is>
          <t>Spree Markt AG</t>
        </is>
      </c>
      <c r="L75" s="20" t="inlineStr">
        <is>
          <t>DE-Ost</t>
        </is>
      </c>
      <c r="M75" s="20" t="inlineStr">
        <is>
          <t>Getraenke</t>
        </is>
      </c>
      <c r="N75" s="12" t="n">
        <v>127104</v>
      </c>
      <c r="O75" s="12" t="n">
        <v>120748.8</v>
      </c>
      <c r="P75" s="12" t="n">
        <v>205.22</v>
      </c>
      <c r="Q75" s="12" t="n">
        <v>132.4</v>
      </c>
    </row>
    <row r="76">
      <c r="A76" s="11" t="n">
        <v>45708</v>
      </c>
      <c r="B76" s="20" t="inlineStr">
        <is>
          <t>Hessen Vertrieb GmbH</t>
        </is>
      </c>
      <c r="C76" s="20" t="inlineStr">
        <is>
          <t>DE-Mitte</t>
        </is>
      </c>
      <c r="D76" s="20" t="inlineStr">
        <is>
          <t>Kuehlware</t>
        </is>
      </c>
      <c r="E76" s="12" t="n">
        <v>29760</v>
      </c>
      <c r="F76" s="12" t="n">
        <v>101184</v>
      </c>
      <c r="G76" s="12" t="n">
        <v>80.59999999999999</v>
      </c>
      <c r="H76" s="12" t="n">
        <v>62</v>
      </c>
      <c r="J76" s="11" t="n">
        <v>46068</v>
      </c>
      <c r="K76" s="20" t="inlineStr">
        <is>
          <t>Westfilial AG</t>
        </is>
      </c>
      <c r="L76" s="20" t="inlineStr">
        <is>
          <t>DE-West</t>
        </is>
      </c>
      <c r="M76" s="20" t="inlineStr">
        <is>
          <t>Trockensortiment</t>
        </is>
      </c>
      <c r="N76" s="12" t="n">
        <v>155592</v>
      </c>
      <c r="O76" s="12" t="n">
        <v>287845.2</v>
      </c>
      <c r="P76" s="12" t="n">
        <v>313.34</v>
      </c>
      <c r="Q76" s="12" t="n">
        <v>216.1</v>
      </c>
    </row>
    <row r="77">
      <c r="A77" s="11" t="n">
        <v>45708</v>
      </c>
      <c r="B77" s="20" t="inlineStr">
        <is>
          <t>Ruhr Frische GmbH</t>
        </is>
      </c>
      <c r="C77" s="20" t="inlineStr">
        <is>
          <t>DE-West</t>
        </is>
      </c>
      <c r="D77" s="20" t="inlineStr">
        <is>
          <t>Getraenke</t>
        </is>
      </c>
      <c r="E77" s="12" t="n">
        <v>213216</v>
      </c>
      <c r="F77" s="12" t="n">
        <v>202555.2</v>
      </c>
      <c r="G77" s="12" t="n">
        <v>344.25</v>
      </c>
      <c r="H77" s="12" t="n">
        <v>222.1</v>
      </c>
      <c r="J77" s="11" t="n">
        <v>46071</v>
      </c>
      <c r="K77" s="20" t="inlineStr">
        <is>
          <t>Odra Handel Sp.</t>
        </is>
      </c>
      <c r="L77" s="20" t="inlineStr">
        <is>
          <t>PL</t>
        </is>
      </c>
      <c r="M77" s="20" t="inlineStr">
        <is>
          <t>Trockensortiment</t>
        </is>
      </c>
      <c r="N77" s="12" t="n">
        <v>26712</v>
      </c>
      <c r="O77" s="12" t="n">
        <v>49417.2</v>
      </c>
      <c r="P77" s="12" t="n">
        <v>53.8</v>
      </c>
      <c r="Q77" s="12" t="n">
        <v>37.1</v>
      </c>
    </row>
    <row r="78">
      <c r="A78" s="11" t="n">
        <v>45708</v>
      </c>
      <c r="B78" s="20" t="inlineStr">
        <is>
          <t>Westfilial AG</t>
        </is>
      </c>
      <c r="C78" s="20" t="inlineStr">
        <is>
          <t>DE-West</t>
        </is>
      </c>
      <c r="D78" s="20" t="inlineStr">
        <is>
          <t>Kuehlware</t>
        </is>
      </c>
      <c r="E78" s="12" t="n">
        <v>64800</v>
      </c>
      <c r="F78" s="12" t="n">
        <v>220320</v>
      </c>
      <c r="G78" s="12" t="n">
        <v>175.5</v>
      </c>
      <c r="H78" s="12" t="n">
        <v>135</v>
      </c>
      <c r="J78" s="11" t="n">
        <v>46072</v>
      </c>
      <c r="K78" s="20" t="inlineStr">
        <is>
          <t>Austria Markt GmbH</t>
        </is>
      </c>
      <c r="L78" s="20" t="inlineStr">
        <is>
          <t>AT</t>
        </is>
      </c>
      <c r="M78" s="20" t="inlineStr">
        <is>
          <t>Non-Food</t>
        </is>
      </c>
      <c r="N78" s="12" t="n">
        <v>5016</v>
      </c>
      <c r="O78" s="12" t="n">
        <v>62700</v>
      </c>
      <c r="P78" s="12" t="n">
        <v>33.44</v>
      </c>
      <c r="Q78" s="12" t="n">
        <v>20.9</v>
      </c>
    </row>
    <row r="79">
      <c r="A79" s="11" t="n">
        <v>45709</v>
      </c>
      <c r="B79" s="20" t="inlineStr">
        <is>
          <t>Mainpunkt Handel</t>
        </is>
      </c>
      <c r="C79" s="20" t="inlineStr">
        <is>
          <t>DE-Mitte</t>
        </is>
      </c>
      <c r="D79" s="20" t="inlineStr">
        <is>
          <t>Trockensortiment</t>
        </is>
      </c>
      <c r="E79" s="12" t="n">
        <v>92448</v>
      </c>
      <c r="F79" s="12" t="n">
        <v>171028.8</v>
      </c>
      <c r="G79" s="12" t="n">
        <v>186.18</v>
      </c>
      <c r="H79" s="12" t="n">
        <v>128.4</v>
      </c>
      <c r="J79" s="11" t="n">
        <v>46072</v>
      </c>
      <c r="K79" s="20" t="inlineStr">
        <is>
          <t>Elbe Handel GmbH</t>
        </is>
      </c>
      <c r="L79" s="20" t="inlineStr">
        <is>
          <t>DE-Nord</t>
        </is>
      </c>
      <c r="M79" s="20" t="inlineStr">
        <is>
          <t>Aktionsware</t>
        </is>
      </c>
      <c r="N79" s="12" t="n">
        <v>11376</v>
      </c>
      <c r="O79" s="12" t="n">
        <v>70531.2</v>
      </c>
      <c r="P79" s="12" t="n">
        <v>47.4</v>
      </c>
      <c r="Q79" s="12" t="n">
        <v>31.6</v>
      </c>
    </row>
    <row r="80">
      <c r="A80" s="11" t="n">
        <v>45709</v>
      </c>
      <c r="B80" s="20" t="inlineStr">
        <is>
          <t>Elbe Handel GmbH</t>
        </is>
      </c>
      <c r="C80" s="20" t="inlineStr">
        <is>
          <t>DE-Nord</t>
        </is>
      </c>
      <c r="D80" s="20" t="inlineStr">
        <is>
          <t>Aktionsware</t>
        </is>
      </c>
      <c r="E80" s="12" t="n">
        <v>11088</v>
      </c>
      <c r="F80" s="12" t="n">
        <v>68745.60000000001</v>
      </c>
      <c r="G80" s="12" t="n">
        <v>46.2</v>
      </c>
      <c r="H80" s="12" t="n">
        <v>30.8</v>
      </c>
      <c r="J80" s="11" t="n">
        <v>46072</v>
      </c>
      <c r="K80" s="20" t="inlineStr">
        <is>
          <t>Alpenmarkt GmbH</t>
        </is>
      </c>
      <c r="L80" s="20" t="inlineStr">
        <is>
          <t>DE-Sued</t>
        </is>
      </c>
      <c r="M80" s="20" t="inlineStr">
        <is>
          <t>Getraenke</t>
        </is>
      </c>
      <c r="N80" s="12" t="n">
        <v>241440</v>
      </c>
      <c r="O80" s="12" t="n">
        <v>229368</v>
      </c>
      <c r="P80" s="12" t="n">
        <v>389.82</v>
      </c>
      <c r="Q80" s="12" t="n">
        <v>251.5</v>
      </c>
    </row>
    <row r="81">
      <c r="A81" s="11" t="n">
        <v>45710</v>
      </c>
      <c r="B81" s="20" t="inlineStr">
        <is>
          <t>Kuestenlager KG</t>
        </is>
      </c>
      <c r="C81" s="20" t="inlineStr">
        <is>
          <t>DE-Nord</t>
        </is>
      </c>
      <c r="D81" s="20" t="inlineStr">
        <is>
          <t>Kuehlware</t>
        </is>
      </c>
      <c r="E81" s="12" t="n">
        <v>64080</v>
      </c>
      <c r="F81" s="12" t="n">
        <v>217872</v>
      </c>
      <c r="G81" s="12" t="n">
        <v>173.55</v>
      </c>
      <c r="H81" s="12" t="n">
        <v>133.5</v>
      </c>
      <c r="J81" s="11" t="n">
        <v>46073</v>
      </c>
      <c r="K81" s="20" t="inlineStr">
        <is>
          <t>Sachsen Handel GmbH</t>
        </is>
      </c>
      <c r="L81" s="20" t="inlineStr">
        <is>
          <t>DE-Ost</t>
        </is>
      </c>
      <c r="M81" s="20" t="inlineStr">
        <is>
          <t>Kuehlware</t>
        </is>
      </c>
      <c r="N81" s="12" t="n">
        <v>32880</v>
      </c>
      <c r="O81" s="12" t="n">
        <v>111792</v>
      </c>
      <c r="P81" s="12" t="n">
        <v>89.05</v>
      </c>
      <c r="Q81" s="12" t="n">
        <v>68.5</v>
      </c>
    </row>
    <row r="82">
      <c r="A82" s="11" t="n">
        <v>45711</v>
      </c>
      <c r="B82" s="20" t="inlineStr">
        <is>
          <t>Hessen Vertrieb GmbH</t>
        </is>
      </c>
      <c r="C82" s="20" t="inlineStr">
        <is>
          <t>DE-Mitte</t>
        </is>
      </c>
      <c r="D82" s="20" t="inlineStr">
        <is>
          <t>Aktionsware</t>
        </is>
      </c>
      <c r="E82" s="12" t="n">
        <v>9432</v>
      </c>
      <c r="F82" s="12" t="n">
        <v>58478.4</v>
      </c>
      <c r="G82" s="12" t="n">
        <v>39.3</v>
      </c>
      <c r="H82" s="12" t="n">
        <v>26.2</v>
      </c>
      <c r="J82" s="11" t="n">
        <v>46074</v>
      </c>
      <c r="K82" s="20" t="inlineStr">
        <is>
          <t>Randstad Retail BV</t>
        </is>
      </c>
      <c r="L82" s="20" t="inlineStr">
        <is>
          <t>NL</t>
        </is>
      </c>
      <c r="M82" s="20" t="inlineStr">
        <is>
          <t>Trockensortiment</t>
        </is>
      </c>
      <c r="N82" s="12" t="n">
        <v>51336</v>
      </c>
      <c r="O82" s="12" t="n">
        <v>94971.60000000001</v>
      </c>
      <c r="P82" s="12" t="n">
        <v>103.38</v>
      </c>
      <c r="Q82" s="12" t="n">
        <v>71.3</v>
      </c>
    </row>
    <row r="83">
      <c r="A83" s="11" t="n">
        <v>45711</v>
      </c>
      <c r="B83" s="20" t="inlineStr">
        <is>
          <t>Kuestenlager KG</t>
        </is>
      </c>
      <c r="C83" s="20" t="inlineStr">
        <is>
          <t>DE-Nord</t>
        </is>
      </c>
      <c r="D83" s="20" t="inlineStr">
        <is>
          <t>Getraenke</t>
        </is>
      </c>
      <c r="E83" s="12" t="n">
        <v>150240</v>
      </c>
      <c r="F83" s="12" t="n">
        <v>142728</v>
      </c>
      <c r="G83" s="12" t="n">
        <v>242.58</v>
      </c>
      <c r="H83" s="12" t="n">
        <v>156.5</v>
      </c>
      <c r="J83" s="11" t="n">
        <v>46075</v>
      </c>
      <c r="K83" s="20" t="inlineStr">
        <is>
          <t>Odra Handel Sp.</t>
        </is>
      </c>
      <c r="L83" s="20" t="inlineStr">
        <is>
          <t>PL</t>
        </is>
      </c>
      <c r="M83" s="20" t="inlineStr">
        <is>
          <t>Kuehlware</t>
        </is>
      </c>
      <c r="N83" s="12" t="n">
        <v>9552</v>
      </c>
      <c r="O83" s="12" t="n">
        <v>32476.8</v>
      </c>
      <c r="P83" s="12" t="n">
        <v>25.87</v>
      </c>
      <c r="Q83" s="12" t="n">
        <v>19.9</v>
      </c>
    </row>
    <row r="84">
      <c r="A84" s="11" t="n">
        <v>45712</v>
      </c>
      <c r="B84" s="20" t="inlineStr">
        <is>
          <t>Rheinland Retail SE</t>
        </is>
      </c>
      <c r="C84" s="20" t="inlineStr">
        <is>
          <t>DE-West</t>
        </is>
      </c>
      <c r="D84" s="20" t="inlineStr">
        <is>
          <t>Aktionsware</t>
        </is>
      </c>
      <c r="E84" s="12" t="n">
        <v>15480</v>
      </c>
      <c r="F84" s="12" t="n">
        <v>95976</v>
      </c>
      <c r="G84" s="12" t="n">
        <v>64.5</v>
      </c>
      <c r="H84" s="12" t="n">
        <v>43</v>
      </c>
      <c r="J84" s="11" t="n">
        <v>46077</v>
      </c>
      <c r="K84" s="20" t="inlineStr">
        <is>
          <t>Mainpunkt Handel</t>
        </is>
      </c>
      <c r="L84" s="20" t="inlineStr">
        <is>
          <t>DE-Mitte</t>
        </is>
      </c>
      <c r="M84" s="20" t="inlineStr">
        <is>
          <t>Aktionsware</t>
        </is>
      </c>
      <c r="N84" s="12" t="n">
        <v>9540</v>
      </c>
      <c r="O84" s="12" t="n">
        <v>59148</v>
      </c>
      <c r="P84" s="12" t="n">
        <v>39.75</v>
      </c>
      <c r="Q84" s="12" t="n">
        <v>26.5</v>
      </c>
    </row>
    <row r="85">
      <c r="A85" s="11" t="n">
        <v>45712</v>
      </c>
      <c r="B85" s="20" t="inlineStr">
        <is>
          <t>Wisla Retail Sp.</t>
        </is>
      </c>
      <c r="C85" s="20" t="inlineStr">
        <is>
          <t>PL</t>
        </is>
      </c>
      <c r="D85" s="20" t="inlineStr">
        <is>
          <t>Trockensortiment</t>
        </is>
      </c>
      <c r="E85" s="12" t="n">
        <v>26496</v>
      </c>
      <c r="F85" s="12" t="n">
        <v>49017.6</v>
      </c>
      <c r="G85" s="12" t="n">
        <v>53.36</v>
      </c>
      <c r="H85" s="12" t="n">
        <v>36.8</v>
      </c>
      <c r="J85" s="11" t="n">
        <v>46078</v>
      </c>
      <c r="K85" s="20" t="inlineStr">
        <is>
          <t>Delta Foods BV</t>
        </is>
      </c>
      <c r="L85" s="20" t="inlineStr">
        <is>
          <t>NL</t>
        </is>
      </c>
      <c r="M85" s="20" t="inlineStr">
        <is>
          <t>Aktionsware</t>
        </is>
      </c>
      <c r="N85" s="12" t="n">
        <v>5436</v>
      </c>
      <c r="O85" s="12" t="n">
        <v>33703.2</v>
      </c>
      <c r="P85" s="12" t="n">
        <v>22.65</v>
      </c>
      <c r="Q85" s="12" t="n">
        <v>15.1</v>
      </c>
    </row>
    <row r="86">
      <c r="A86" s="11" t="n">
        <v>45717</v>
      </c>
      <c r="B86" s="20" t="inlineStr">
        <is>
          <t>Tirol Handel AG</t>
        </is>
      </c>
      <c r="C86" s="20" t="inlineStr">
        <is>
          <t>AT</t>
        </is>
      </c>
      <c r="D86" s="20" t="inlineStr">
        <is>
          <t>Aktionsware</t>
        </is>
      </c>
      <c r="E86" s="12" t="n">
        <v>3636</v>
      </c>
      <c r="F86" s="12" t="n">
        <v>22543.2</v>
      </c>
      <c r="G86" s="12" t="n">
        <v>15.15</v>
      </c>
      <c r="H86" s="12" t="n">
        <v>10.1</v>
      </c>
      <c r="J86" s="11" t="n">
        <v>46082</v>
      </c>
      <c r="K86" s="20" t="inlineStr">
        <is>
          <t>Kuestenlager KG</t>
        </is>
      </c>
      <c r="L86" s="20" t="inlineStr">
        <is>
          <t>DE-Nord</t>
        </is>
      </c>
      <c r="M86" s="20" t="inlineStr">
        <is>
          <t>Aktionsware</t>
        </is>
      </c>
      <c r="N86" s="12" t="n">
        <v>9864</v>
      </c>
      <c r="O86" s="12" t="n">
        <v>61156.8</v>
      </c>
      <c r="P86" s="12" t="n">
        <v>41.1</v>
      </c>
      <c r="Q86" s="12" t="n">
        <v>27.4</v>
      </c>
    </row>
    <row r="87">
      <c r="A87" s="11" t="n">
        <v>45717</v>
      </c>
      <c r="B87" s="20" t="inlineStr">
        <is>
          <t>Austria Markt GmbH</t>
        </is>
      </c>
      <c r="C87" s="20" t="inlineStr">
        <is>
          <t>AT</t>
        </is>
      </c>
      <c r="D87" s="20" t="inlineStr">
        <is>
          <t>Getraenke</t>
        </is>
      </c>
      <c r="E87" s="12" t="n">
        <v>74016</v>
      </c>
      <c r="F87" s="12" t="n">
        <v>70315.2</v>
      </c>
      <c r="G87" s="12" t="n">
        <v>119.5</v>
      </c>
      <c r="H87" s="12" t="n">
        <v>77.09999999999999</v>
      </c>
      <c r="J87" s="11" t="n">
        <v>46082</v>
      </c>
      <c r="K87" s="20" t="inlineStr">
        <is>
          <t>Spree Markt AG</t>
        </is>
      </c>
      <c r="L87" s="20" t="inlineStr">
        <is>
          <t>DE-Ost</t>
        </is>
      </c>
      <c r="M87" s="20" t="inlineStr">
        <is>
          <t>Non-Food</t>
        </is>
      </c>
      <c r="N87" s="12" t="n">
        <v>6888</v>
      </c>
      <c r="O87" s="12" t="n">
        <v>86100</v>
      </c>
      <c r="P87" s="12" t="n">
        <v>45.92</v>
      </c>
      <c r="Q87" s="12" t="n">
        <v>28.7</v>
      </c>
    </row>
    <row r="88">
      <c r="A88" s="11" t="n">
        <v>45717</v>
      </c>
      <c r="B88" s="20" t="inlineStr">
        <is>
          <t>Kuestenlager KG</t>
        </is>
      </c>
      <c r="C88" s="20" t="inlineStr">
        <is>
          <t>DE-Nord</t>
        </is>
      </c>
      <c r="D88" s="20" t="inlineStr">
        <is>
          <t>Getraenke</t>
        </is>
      </c>
      <c r="E88" s="12" t="n">
        <v>168672</v>
      </c>
      <c r="F88" s="12" t="n">
        <v>160238.4</v>
      </c>
      <c r="G88" s="12" t="n">
        <v>272.33</v>
      </c>
      <c r="H88" s="12" t="n">
        <v>175.7</v>
      </c>
      <c r="J88" s="11" t="n">
        <v>46083</v>
      </c>
      <c r="K88" s="20" t="inlineStr">
        <is>
          <t>Delta Foods BV</t>
        </is>
      </c>
      <c r="L88" s="20" t="inlineStr">
        <is>
          <t>NL</t>
        </is>
      </c>
      <c r="M88" s="20" t="inlineStr">
        <is>
          <t>Aktionsware</t>
        </is>
      </c>
      <c r="N88" s="12" t="n">
        <v>5040</v>
      </c>
      <c r="O88" s="12" t="n">
        <v>31248</v>
      </c>
      <c r="P88" s="12" t="n">
        <v>21</v>
      </c>
      <c r="Q88" s="12" t="n">
        <v>14</v>
      </c>
    </row>
    <row r="89">
      <c r="A89" s="11" t="n">
        <v>45719</v>
      </c>
      <c r="B89" s="20" t="inlineStr">
        <is>
          <t>Donau Handel AG</t>
        </is>
      </c>
      <c r="C89" s="20" t="inlineStr">
        <is>
          <t>DE-Sued</t>
        </is>
      </c>
      <c r="D89" s="20" t="inlineStr">
        <is>
          <t>Getraenke</t>
        </is>
      </c>
      <c r="E89" s="12" t="n">
        <v>249984</v>
      </c>
      <c r="F89" s="12" t="n">
        <v>237484.8</v>
      </c>
      <c r="G89" s="12" t="n">
        <v>403.62</v>
      </c>
      <c r="H89" s="12" t="n">
        <v>260.4</v>
      </c>
      <c r="J89" s="11" t="n">
        <v>46083</v>
      </c>
      <c r="K89" s="20" t="inlineStr">
        <is>
          <t>Odra Handel Sp.</t>
        </is>
      </c>
      <c r="L89" s="20" t="inlineStr">
        <is>
          <t>PL</t>
        </is>
      </c>
      <c r="M89" s="20" t="inlineStr">
        <is>
          <t>Aktionsware</t>
        </is>
      </c>
      <c r="N89" s="12" t="n">
        <v>18648</v>
      </c>
      <c r="O89" s="12" t="n">
        <v>115617.6</v>
      </c>
      <c r="P89" s="12" t="n">
        <v>77.7</v>
      </c>
      <c r="Q89" s="12" t="n">
        <v>51.8</v>
      </c>
    </row>
    <row r="90">
      <c r="A90" s="11" t="n">
        <v>45719</v>
      </c>
      <c r="B90" s="20" t="inlineStr">
        <is>
          <t>Wisla Retail Sp.</t>
        </is>
      </c>
      <c r="C90" s="20" t="inlineStr">
        <is>
          <t>PL</t>
        </is>
      </c>
      <c r="D90" s="20" t="inlineStr">
        <is>
          <t>Getraenke</t>
        </is>
      </c>
      <c r="E90" s="12" t="n">
        <v>43584</v>
      </c>
      <c r="F90" s="12" t="n">
        <v>41404.8</v>
      </c>
      <c r="G90" s="12" t="n">
        <v>70.37</v>
      </c>
      <c r="H90" s="12" t="n">
        <v>45.4</v>
      </c>
      <c r="J90" s="11" t="n">
        <v>46084</v>
      </c>
      <c r="K90" s="20" t="inlineStr">
        <is>
          <t>Nordmarkt AG</t>
        </is>
      </c>
      <c r="L90" s="20" t="inlineStr">
        <is>
          <t>DE-Nord</t>
        </is>
      </c>
      <c r="M90" s="20" t="inlineStr">
        <is>
          <t>Non-Food</t>
        </is>
      </c>
      <c r="N90" s="12" t="n">
        <v>11280</v>
      </c>
      <c r="O90" s="12" t="n">
        <v>141000</v>
      </c>
      <c r="P90" s="12" t="n">
        <v>75.2</v>
      </c>
      <c r="Q90" s="12" t="n">
        <v>47</v>
      </c>
    </row>
    <row r="91">
      <c r="A91" s="11" t="n">
        <v>45721</v>
      </c>
      <c r="B91" s="20" t="inlineStr">
        <is>
          <t>Hessen Vertrieb GmbH</t>
        </is>
      </c>
      <c r="C91" s="20" t="inlineStr">
        <is>
          <t>DE-Mitte</t>
        </is>
      </c>
      <c r="D91" s="20" t="inlineStr">
        <is>
          <t>Trockensortiment</t>
        </is>
      </c>
      <c r="E91" s="12" t="n">
        <v>95832</v>
      </c>
      <c r="F91" s="12" t="n">
        <v>177289.2</v>
      </c>
      <c r="G91" s="12" t="n">
        <v>192.99</v>
      </c>
      <c r="H91" s="12" t="n">
        <v>133.1</v>
      </c>
      <c r="J91" s="11" t="n">
        <v>46084</v>
      </c>
      <c r="K91" s="20" t="inlineStr">
        <is>
          <t>Sued Filialen KG</t>
        </is>
      </c>
      <c r="L91" s="20" t="inlineStr">
        <is>
          <t>DE-Sued</t>
        </is>
      </c>
      <c r="M91" s="20" t="inlineStr">
        <is>
          <t>Aktionsware</t>
        </is>
      </c>
      <c r="N91" s="12" t="n">
        <v>10296</v>
      </c>
      <c r="O91" s="12" t="n">
        <v>63835.2</v>
      </c>
      <c r="P91" s="12" t="n">
        <v>42.9</v>
      </c>
      <c r="Q91" s="12" t="n">
        <v>28.6</v>
      </c>
    </row>
    <row r="92">
      <c r="A92" s="11" t="n">
        <v>45722</v>
      </c>
      <c r="B92" s="20" t="inlineStr">
        <is>
          <t>Austria Markt GmbH</t>
        </is>
      </c>
      <c r="C92" s="20" t="inlineStr">
        <is>
          <t>AT</t>
        </is>
      </c>
      <c r="D92" s="20" t="inlineStr">
        <is>
          <t>Non-Food</t>
        </is>
      </c>
      <c r="E92" s="12" t="n">
        <v>4776</v>
      </c>
      <c r="F92" s="12" t="n">
        <v>59700</v>
      </c>
      <c r="G92" s="12" t="n">
        <v>31.84</v>
      </c>
      <c r="H92" s="12" t="n">
        <v>19.9</v>
      </c>
      <c r="J92" s="11" t="n">
        <v>46084</v>
      </c>
      <c r="K92" s="20" t="inlineStr">
        <is>
          <t>Ruhr Frische GmbH</t>
        </is>
      </c>
      <c r="L92" s="20" t="inlineStr">
        <is>
          <t>DE-West</t>
        </is>
      </c>
      <c r="M92" s="20" t="inlineStr">
        <is>
          <t>Non-Food</t>
        </is>
      </c>
      <c r="N92" s="12" t="n">
        <v>15792</v>
      </c>
      <c r="O92" s="12" t="n">
        <v>197400</v>
      </c>
      <c r="P92" s="12" t="n">
        <v>105.28</v>
      </c>
      <c r="Q92" s="12" t="n">
        <v>65.8</v>
      </c>
    </row>
    <row r="93">
      <c r="A93" s="11" t="n">
        <v>45722</v>
      </c>
      <c r="B93" s="20" t="inlineStr">
        <is>
          <t>Alpenmarkt GmbH</t>
        </is>
      </c>
      <c r="C93" s="20" t="inlineStr">
        <is>
          <t>DE-Sued</t>
        </is>
      </c>
      <c r="D93" s="20" t="inlineStr">
        <is>
          <t>Trockensortiment</t>
        </is>
      </c>
      <c r="E93" s="12" t="n">
        <v>133776</v>
      </c>
      <c r="F93" s="12" t="n">
        <v>247485.6</v>
      </c>
      <c r="G93" s="12" t="n">
        <v>269.41</v>
      </c>
      <c r="H93" s="12" t="n">
        <v>185.8</v>
      </c>
      <c r="J93" s="11" t="n">
        <v>46085</v>
      </c>
      <c r="K93" s="20" t="inlineStr">
        <is>
          <t>Tirol Handel AG</t>
        </is>
      </c>
      <c r="L93" s="20" t="inlineStr">
        <is>
          <t>AT</t>
        </is>
      </c>
      <c r="M93" s="20" t="inlineStr">
        <is>
          <t>Non-Food</t>
        </is>
      </c>
      <c r="N93" s="12" t="n">
        <v>4704</v>
      </c>
      <c r="O93" s="12" t="n">
        <v>58800</v>
      </c>
      <c r="P93" s="12" t="n">
        <v>31.36</v>
      </c>
      <c r="Q93" s="12" t="n">
        <v>19.6</v>
      </c>
    </row>
    <row r="94">
      <c r="A94" s="11" t="n">
        <v>45723</v>
      </c>
      <c r="B94" s="20" t="inlineStr">
        <is>
          <t>Mainpunkt Handel</t>
        </is>
      </c>
      <c r="C94" s="20" t="inlineStr">
        <is>
          <t>DE-Mitte</t>
        </is>
      </c>
      <c r="D94" s="20" t="inlineStr">
        <is>
          <t>Non-Food</t>
        </is>
      </c>
      <c r="E94" s="12" t="n">
        <v>9000</v>
      </c>
      <c r="F94" s="12" t="n">
        <v>112500</v>
      </c>
      <c r="G94" s="12" t="n">
        <v>60</v>
      </c>
      <c r="H94" s="12" t="n">
        <v>37.5</v>
      </c>
      <c r="J94" s="11" t="n">
        <v>46085</v>
      </c>
      <c r="K94" s="20" t="inlineStr">
        <is>
          <t>Elbe Handel GmbH</t>
        </is>
      </c>
      <c r="L94" s="20" t="inlineStr">
        <is>
          <t>DE-Nord</t>
        </is>
      </c>
      <c r="M94" s="20" t="inlineStr">
        <is>
          <t>Kuehlware</t>
        </is>
      </c>
      <c r="N94" s="12" t="n">
        <v>74112</v>
      </c>
      <c r="O94" s="12" t="n">
        <v>251980.8</v>
      </c>
      <c r="P94" s="12" t="n">
        <v>200.72</v>
      </c>
      <c r="Q94" s="12" t="n">
        <v>154.4</v>
      </c>
    </row>
    <row r="95">
      <c r="A95" s="11" t="n">
        <v>45725</v>
      </c>
      <c r="B95" s="20" t="inlineStr">
        <is>
          <t>Sachsen Handel GmbH</t>
        </is>
      </c>
      <c r="C95" s="20" t="inlineStr">
        <is>
          <t>DE-Ost</t>
        </is>
      </c>
      <c r="D95" s="20" t="inlineStr">
        <is>
          <t>Aktionsware</t>
        </is>
      </c>
      <c r="E95" s="12" t="n">
        <v>8136</v>
      </c>
      <c r="F95" s="12" t="n">
        <v>50443.2</v>
      </c>
      <c r="G95" s="12" t="n">
        <v>33.9</v>
      </c>
      <c r="H95" s="12" t="n">
        <v>22.6</v>
      </c>
      <c r="J95" s="11" t="n">
        <v>46085</v>
      </c>
      <c r="K95" s="20" t="inlineStr">
        <is>
          <t>Spree Markt AG</t>
        </is>
      </c>
      <c r="L95" s="20" t="inlineStr">
        <is>
          <t>DE-Ost</t>
        </is>
      </c>
      <c r="M95" s="20" t="inlineStr">
        <is>
          <t>Trockensortiment</t>
        </is>
      </c>
      <c r="N95" s="12" t="n">
        <v>74736</v>
      </c>
      <c r="O95" s="12" t="n">
        <v>138261.6</v>
      </c>
      <c r="P95" s="12" t="n">
        <v>150.51</v>
      </c>
      <c r="Q95" s="12" t="n">
        <v>103.8</v>
      </c>
    </row>
    <row r="96">
      <c r="A96" s="11" t="n">
        <v>45725</v>
      </c>
      <c r="B96" s="20" t="inlineStr">
        <is>
          <t>Randstad Retail BV</t>
        </is>
      </c>
      <c r="C96" s="20" t="inlineStr">
        <is>
          <t>NL</t>
        </is>
      </c>
      <c r="D96" s="20" t="inlineStr">
        <is>
          <t>Non-Food</t>
        </is>
      </c>
      <c r="E96" s="12" t="n">
        <v>7056</v>
      </c>
      <c r="F96" s="12" t="n">
        <v>88200</v>
      </c>
      <c r="G96" s="12" t="n">
        <v>47.04</v>
      </c>
      <c r="H96" s="12" t="n">
        <v>29.4</v>
      </c>
      <c r="J96" s="11" t="n">
        <v>46085</v>
      </c>
      <c r="K96" s="20" t="inlineStr">
        <is>
          <t>Delta Foods BV</t>
        </is>
      </c>
      <c r="L96" s="20" t="inlineStr">
        <is>
          <t>NL</t>
        </is>
      </c>
      <c r="M96" s="20" t="inlineStr">
        <is>
          <t>Trockensortiment</t>
        </is>
      </c>
      <c r="N96" s="12" t="n">
        <v>47232</v>
      </c>
      <c r="O96" s="12" t="n">
        <v>87379.2</v>
      </c>
      <c r="P96" s="12" t="n">
        <v>95.12</v>
      </c>
      <c r="Q96" s="12" t="n">
        <v>65.59999999999999</v>
      </c>
    </row>
    <row r="97">
      <c r="A97" s="11" t="n">
        <v>45725</v>
      </c>
      <c r="B97" s="20" t="inlineStr">
        <is>
          <t>Wisla Retail Sp.</t>
        </is>
      </c>
      <c r="C97" s="20" t="inlineStr">
        <is>
          <t>PL</t>
        </is>
      </c>
      <c r="D97" s="20" t="inlineStr">
        <is>
          <t>Non-Food</t>
        </is>
      </c>
      <c r="E97" s="12" t="n">
        <v>12456</v>
      </c>
      <c r="F97" s="12" t="n">
        <v>155700</v>
      </c>
      <c r="G97" s="12" t="n">
        <v>83.04000000000001</v>
      </c>
      <c r="H97" s="12" t="n">
        <v>51.9</v>
      </c>
      <c r="J97" s="11" t="n">
        <v>46085</v>
      </c>
      <c r="K97" s="20" t="inlineStr">
        <is>
          <t>Wisla Retail Sp.</t>
        </is>
      </c>
      <c r="L97" s="20" t="inlineStr">
        <is>
          <t>PL</t>
        </is>
      </c>
      <c r="M97" s="20" t="inlineStr">
        <is>
          <t>Getraenke</t>
        </is>
      </c>
      <c r="N97" s="12" t="n">
        <v>45984</v>
      </c>
      <c r="O97" s="12" t="n">
        <v>43684.8</v>
      </c>
      <c r="P97" s="12" t="n">
        <v>74.25</v>
      </c>
      <c r="Q97" s="12" t="n">
        <v>47.9</v>
      </c>
    </row>
    <row r="98">
      <c r="A98" s="11" t="n">
        <v>45726</v>
      </c>
      <c r="B98" s="20" t="inlineStr">
        <is>
          <t>Spree Markt AG</t>
        </is>
      </c>
      <c r="C98" s="20" t="inlineStr">
        <is>
          <t>DE-Ost</t>
        </is>
      </c>
      <c r="D98" s="20" t="inlineStr">
        <is>
          <t>Kuehlware</t>
        </is>
      </c>
      <c r="E98" s="12" t="n">
        <v>29712</v>
      </c>
      <c r="F98" s="12" t="n">
        <v>101020.8</v>
      </c>
      <c r="G98" s="12" t="n">
        <v>80.47</v>
      </c>
      <c r="H98" s="12" t="n">
        <v>61.9</v>
      </c>
      <c r="J98" s="11" t="n">
        <v>46086</v>
      </c>
      <c r="K98" s="20" t="inlineStr">
        <is>
          <t>Tirol Handel AG</t>
        </is>
      </c>
      <c r="L98" s="20" t="inlineStr">
        <is>
          <t>AT</t>
        </is>
      </c>
      <c r="M98" s="20" t="inlineStr">
        <is>
          <t>Aktionsware</t>
        </is>
      </c>
      <c r="N98" s="12" t="n">
        <v>3600</v>
      </c>
      <c r="O98" s="12" t="n">
        <v>22320</v>
      </c>
      <c r="P98" s="12" t="n">
        <v>15</v>
      </c>
      <c r="Q98" s="12" t="n">
        <v>10</v>
      </c>
    </row>
    <row r="99">
      <c r="A99" s="11" t="n">
        <v>45726</v>
      </c>
      <c r="B99" s="20" t="inlineStr">
        <is>
          <t>Donau Handel AG</t>
        </is>
      </c>
      <c r="C99" s="20" t="inlineStr">
        <is>
          <t>DE-Sued</t>
        </is>
      </c>
      <c r="D99" s="20" t="inlineStr">
        <is>
          <t>Kuehlware</t>
        </is>
      </c>
      <c r="E99" s="12" t="n">
        <v>56016</v>
      </c>
      <c r="F99" s="12" t="n">
        <v>190454.4</v>
      </c>
      <c r="G99" s="12" t="n">
        <v>151.71</v>
      </c>
      <c r="H99" s="12" t="n">
        <v>116.7</v>
      </c>
      <c r="J99" s="11" t="n">
        <v>46086</v>
      </c>
      <c r="K99" s="20" t="inlineStr">
        <is>
          <t>Randstad Retail BV</t>
        </is>
      </c>
      <c r="L99" s="20" t="inlineStr">
        <is>
          <t>NL</t>
        </is>
      </c>
      <c r="M99" s="20" t="inlineStr">
        <is>
          <t>Getraenke</t>
        </is>
      </c>
      <c r="N99" s="12" t="n">
        <v>56544</v>
      </c>
      <c r="O99" s="12" t="n">
        <v>53716.8</v>
      </c>
      <c r="P99" s="12" t="n">
        <v>91.3</v>
      </c>
      <c r="Q99" s="12" t="n">
        <v>58.9</v>
      </c>
    </row>
    <row r="100">
      <c r="A100" s="11" t="n">
        <v>45726</v>
      </c>
      <c r="B100" s="20" t="inlineStr">
        <is>
          <t>Rheinland Retail SE</t>
        </is>
      </c>
      <c r="C100" s="20" t="inlineStr">
        <is>
          <t>DE-West</t>
        </is>
      </c>
      <c r="D100" s="20" t="inlineStr">
        <is>
          <t>Trockensortiment</t>
        </is>
      </c>
      <c r="E100" s="12" t="n">
        <v>153864</v>
      </c>
      <c r="F100" s="12" t="n">
        <v>284648.4</v>
      </c>
      <c r="G100" s="12" t="n">
        <v>309.86</v>
      </c>
      <c r="H100" s="12" t="n">
        <v>213.7</v>
      </c>
      <c r="J100" s="11" t="n">
        <v>46086</v>
      </c>
      <c r="K100" s="20" t="inlineStr">
        <is>
          <t>Randstad Retail BV</t>
        </is>
      </c>
      <c r="L100" s="20" t="inlineStr">
        <is>
          <t>NL</t>
        </is>
      </c>
      <c r="M100" s="20" t="inlineStr">
        <is>
          <t>Non-Food</t>
        </is>
      </c>
      <c r="N100" s="12" t="n">
        <v>7512</v>
      </c>
      <c r="O100" s="12" t="n">
        <v>93900</v>
      </c>
      <c r="P100" s="12" t="n">
        <v>50.08</v>
      </c>
      <c r="Q100" s="12" t="n">
        <v>31.3</v>
      </c>
    </row>
    <row r="101">
      <c r="A101" s="11" t="n">
        <v>45726</v>
      </c>
      <c r="B101" s="20" t="inlineStr">
        <is>
          <t>Delta Foods BV</t>
        </is>
      </c>
      <c r="C101" s="20" t="inlineStr">
        <is>
          <t>NL</t>
        </is>
      </c>
      <c r="D101" s="20" t="inlineStr">
        <is>
          <t>Getraenke</t>
        </is>
      </c>
      <c r="E101" s="12" t="n">
        <v>61632</v>
      </c>
      <c r="F101" s="12" t="n">
        <v>58550.4</v>
      </c>
      <c r="G101" s="12" t="n">
        <v>99.51000000000001</v>
      </c>
      <c r="H101" s="12" t="n">
        <v>64.2</v>
      </c>
      <c r="J101" s="11" t="n">
        <v>46087</v>
      </c>
      <c r="K101" s="20" t="inlineStr">
        <is>
          <t>Mainpunkt Handel</t>
        </is>
      </c>
      <c r="L101" s="20" t="inlineStr">
        <is>
          <t>DE-Mitte</t>
        </is>
      </c>
      <c r="M101" s="20" t="inlineStr">
        <is>
          <t>Trockensortiment</t>
        </is>
      </c>
      <c r="N101" s="12" t="n">
        <v>105264</v>
      </c>
      <c r="O101" s="12" t="n">
        <v>194738.4</v>
      </c>
      <c r="P101" s="12" t="n">
        <v>211.99</v>
      </c>
      <c r="Q101" s="12" t="n">
        <v>146.2</v>
      </c>
    </row>
    <row r="102">
      <c r="A102" s="11" t="n">
        <v>45727</v>
      </c>
      <c r="B102" s="20" t="inlineStr">
        <is>
          <t>Sachsen Handel GmbH</t>
        </is>
      </c>
      <c r="C102" s="20" t="inlineStr">
        <is>
          <t>DE-Ost</t>
        </is>
      </c>
      <c r="D102" s="20" t="inlineStr">
        <is>
          <t>Getraenke</t>
        </is>
      </c>
      <c r="E102" s="12" t="n">
        <v>132288</v>
      </c>
      <c r="F102" s="12" t="n">
        <v>125673.6</v>
      </c>
      <c r="G102" s="12" t="n">
        <v>213.59</v>
      </c>
      <c r="H102" s="12" t="n">
        <v>137.8</v>
      </c>
      <c r="J102" s="11" t="n">
        <v>46090</v>
      </c>
      <c r="K102" s="20" t="inlineStr">
        <is>
          <t>Westfilial AG</t>
        </is>
      </c>
      <c r="L102" s="20" t="inlineStr">
        <is>
          <t>DE-West</t>
        </is>
      </c>
      <c r="M102" s="20" t="inlineStr">
        <is>
          <t>Getraenke</t>
        </is>
      </c>
      <c r="N102" s="12" t="n">
        <v>244608</v>
      </c>
      <c r="O102" s="12" t="n">
        <v>232377.6</v>
      </c>
      <c r="P102" s="12" t="n">
        <v>394.94</v>
      </c>
      <c r="Q102" s="12" t="n">
        <v>254.8</v>
      </c>
    </row>
    <row r="103">
      <c r="A103" s="11" t="n">
        <v>45728</v>
      </c>
      <c r="B103" s="20" t="inlineStr">
        <is>
          <t>Nordmarkt AG</t>
        </is>
      </c>
      <c r="C103" s="20" t="inlineStr">
        <is>
          <t>DE-Nord</t>
        </is>
      </c>
      <c r="D103" s="20" t="inlineStr">
        <is>
          <t>Kuehlware</t>
        </is>
      </c>
      <c r="E103" s="12" t="n">
        <v>58752</v>
      </c>
      <c r="F103" s="12" t="n">
        <v>199756.8</v>
      </c>
      <c r="G103" s="12" t="n">
        <v>159.12</v>
      </c>
      <c r="H103" s="12" t="n">
        <v>122.4</v>
      </c>
      <c r="J103" s="11" t="n">
        <v>46090</v>
      </c>
      <c r="K103" s="20" t="inlineStr">
        <is>
          <t>Rheinland Retail SE</t>
        </is>
      </c>
      <c r="L103" s="20" t="inlineStr">
        <is>
          <t>DE-West</t>
        </is>
      </c>
      <c r="M103" s="20" t="inlineStr">
        <is>
          <t>Trockensortiment</t>
        </is>
      </c>
      <c r="N103" s="12" t="n">
        <v>198000</v>
      </c>
      <c r="O103" s="12" t="n">
        <v>366300</v>
      </c>
      <c r="P103" s="12" t="n">
        <v>398.75</v>
      </c>
      <c r="Q103" s="12" t="n">
        <v>275</v>
      </c>
    </row>
    <row r="104">
      <c r="A104" s="11" t="n">
        <v>45728</v>
      </c>
      <c r="B104" s="20" t="inlineStr">
        <is>
          <t>Rheinland Retail SE</t>
        </is>
      </c>
      <c r="C104" s="20" t="inlineStr">
        <is>
          <t>DE-West</t>
        </is>
      </c>
      <c r="D104" s="20" t="inlineStr">
        <is>
          <t>Aktionsware</t>
        </is>
      </c>
      <c r="E104" s="12" t="n">
        <v>12780</v>
      </c>
      <c r="F104" s="12" t="n">
        <v>79236</v>
      </c>
      <c r="G104" s="12" t="n">
        <v>53.25</v>
      </c>
      <c r="H104" s="12" t="n">
        <v>35.5</v>
      </c>
      <c r="J104" s="11" t="n">
        <v>46090</v>
      </c>
      <c r="K104" s="20" t="inlineStr">
        <is>
          <t>Delta Foods BV</t>
        </is>
      </c>
      <c r="L104" s="20" t="inlineStr">
        <is>
          <t>NL</t>
        </is>
      </c>
      <c r="M104" s="20" t="inlineStr">
        <is>
          <t>Kuehlware</t>
        </is>
      </c>
      <c r="N104" s="12" t="n">
        <v>29904</v>
      </c>
      <c r="O104" s="12" t="n">
        <v>101673.6</v>
      </c>
      <c r="P104" s="12" t="n">
        <v>80.98999999999999</v>
      </c>
      <c r="Q104" s="12" t="n">
        <v>62.3</v>
      </c>
    </row>
    <row r="105">
      <c r="A105" s="11" t="n">
        <v>45728</v>
      </c>
      <c r="B105" s="20" t="inlineStr">
        <is>
          <t>Ruhr Frische GmbH</t>
        </is>
      </c>
      <c r="C105" s="20" t="inlineStr">
        <is>
          <t>DE-West</t>
        </is>
      </c>
      <c r="D105" s="20" t="inlineStr">
        <is>
          <t>Getraenke</t>
        </is>
      </c>
      <c r="E105" s="12" t="n">
        <v>253920</v>
      </c>
      <c r="F105" s="12" t="n">
        <v>241224</v>
      </c>
      <c r="G105" s="12" t="n">
        <v>409.98</v>
      </c>
      <c r="H105" s="12" t="n">
        <v>264.5</v>
      </c>
      <c r="J105" s="11" t="n">
        <v>46091</v>
      </c>
      <c r="K105" s="20" t="inlineStr">
        <is>
          <t>Tirol Handel AG</t>
        </is>
      </c>
      <c r="L105" s="20" t="inlineStr">
        <is>
          <t>AT</t>
        </is>
      </c>
      <c r="M105" s="20" t="inlineStr">
        <is>
          <t>Kuehlware</t>
        </is>
      </c>
      <c r="N105" s="12" t="n">
        <v>14400</v>
      </c>
      <c r="O105" s="12" t="n">
        <v>48960</v>
      </c>
      <c r="P105" s="12" t="n">
        <v>39</v>
      </c>
      <c r="Q105" s="12" t="n">
        <v>30</v>
      </c>
    </row>
    <row r="106">
      <c r="A106" s="11" t="n">
        <v>45728</v>
      </c>
      <c r="B106" s="20" t="inlineStr">
        <is>
          <t>Randstad Retail BV</t>
        </is>
      </c>
      <c r="C106" s="20" t="inlineStr">
        <is>
          <t>NL</t>
        </is>
      </c>
      <c r="D106" s="20" t="inlineStr">
        <is>
          <t>Trockensortiment</t>
        </is>
      </c>
      <c r="E106" s="12" t="n">
        <v>56232</v>
      </c>
      <c r="F106" s="12" t="n">
        <v>104029.2</v>
      </c>
      <c r="G106" s="12" t="n">
        <v>113.24</v>
      </c>
      <c r="H106" s="12" t="n">
        <v>78.09999999999999</v>
      </c>
      <c r="J106" s="11" t="n">
        <v>46092</v>
      </c>
      <c r="K106" s="20" t="inlineStr">
        <is>
          <t>Sued Filialen KG</t>
        </is>
      </c>
      <c r="L106" s="20" t="inlineStr">
        <is>
          <t>DE-Sued</t>
        </is>
      </c>
      <c r="M106" s="20" t="inlineStr">
        <is>
          <t>Non-Food</t>
        </is>
      </c>
      <c r="N106" s="12" t="n">
        <v>15288</v>
      </c>
      <c r="O106" s="12" t="n">
        <v>191100</v>
      </c>
      <c r="P106" s="12" t="n">
        <v>101.92</v>
      </c>
      <c r="Q106" s="12" t="n">
        <v>63.7</v>
      </c>
    </row>
    <row r="107">
      <c r="A107" s="11" t="n">
        <v>45729</v>
      </c>
      <c r="B107" s="20" t="inlineStr">
        <is>
          <t>Nordmarkt AG</t>
        </is>
      </c>
      <c r="C107" s="20" t="inlineStr">
        <is>
          <t>DE-Nord</t>
        </is>
      </c>
      <c r="D107" s="20" t="inlineStr">
        <is>
          <t>Non-Food</t>
        </is>
      </c>
      <c r="E107" s="12" t="n">
        <v>12432</v>
      </c>
      <c r="F107" s="12" t="n">
        <v>155400</v>
      </c>
      <c r="G107" s="12" t="n">
        <v>82.88</v>
      </c>
      <c r="H107" s="12" t="n">
        <v>51.8</v>
      </c>
      <c r="J107" s="11" t="n">
        <v>46093</v>
      </c>
      <c r="K107" s="20" t="inlineStr">
        <is>
          <t>Tirol Handel AG</t>
        </is>
      </c>
      <c r="L107" s="20" t="inlineStr">
        <is>
          <t>AT</t>
        </is>
      </c>
      <c r="M107" s="20" t="inlineStr">
        <is>
          <t>Getraenke</t>
        </is>
      </c>
      <c r="N107" s="12" t="n">
        <v>69696</v>
      </c>
      <c r="O107" s="12" t="n">
        <v>66211.2</v>
      </c>
      <c r="P107" s="12" t="n">
        <v>112.53</v>
      </c>
      <c r="Q107" s="12" t="n">
        <v>72.59999999999999</v>
      </c>
    </row>
    <row r="108">
      <c r="A108" s="11" t="n">
        <v>45729</v>
      </c>
      <c r="B108" s="20" t="inlineStr">
        <is>
          <t>Westfilial AG</t>
        </is>
      </c>
      <c r="C108" s="20" t="inlineStr">
        <is>
          <t>DE-West</t>
        </is>
      </c>
      <c r="D108" s="20" t="inlineStr">
        <is>
          <t>Kuehlware</t>
        </is>
      </c>
      <c r="E108" s="12" t="n">
        <v>66240</v>
      </c>
      <c r="F108" s="12" t="n">
        <v>225216</v>
      </c>
      <c r="G108" s="12" t="n">
        <v>179.4</v>
      </c>
      <c r="H108" s="12" t="n">
        <v>138</v>
      </c>
      <c r="J108" s="11" t="n">
        <v>46096</v>
      </c>
      <c r="K108" s="20" t="inlineStr">
        <is>
          <t>Hessen Vertrieb GmbH</t>
        </is>
      </c>
      <c r="L108" s="20" t="inlineStr">
        <is>
          <t>DE-Mitte</t>
        </is>
      </c>
      <c r="M108" s="20" t="inlineStr">
        <is>
          <t>Aktionsware</t>
        </is>
      </c>
      <c r="N108" s="12" t="n">
        <v>7848</v>
      </c>
      <c r="O108" s="12" t="n">
        <v>48657.6</v>
      </c>
      <c r="P108" s="12" t="n">
        <v>32.7</v>
      </c>
      <c r="Q108" s="12" t="n">
        <v>21.8</v>
      </c>
    </row>
    <row r="109">
      <c r="A109" s="11" t="n">
        <v>45732</v>
      </c>
      <c r="B109" s="20" t="inlineStr">
        <is>
          <t>Hessen Vertrieb GmbH</t>
        </is>
      </c>
      <c r="C109" s="20" t="inlineStr">
        <is>
          <t>DE-Mitte</t>
        </is>
      </c>
      <c r="D109" s="20" t="inlineStr">
        <is>
          <t>Aktionsware</t>
        </is>
      </c>
      <c r="E109" s="12" t="n">
        <v>8352</v>
      </c>
      <c r="F109" s="12" t="n">
        <v>51782.4</v>
      </c>
      <c r="G109" s="12" t="n">
        <v>34.8</v>
      </c>
      <c r="H109" s="12" t="n">
        <v>23.2</v>
      </c>
      <c r="J109" s="11" t="n">
        <v>46096</v>
      </c>
      <c r="K109" s="20" t="inlineStr">
        <is>
          <t>Donau Handel AG</t>
        </is>
      </c>
      <c r="L109" s="20" t="inlineStr">
        <is>
          <t>DE-Sued</t>
        </is>
      </c>
      <c r="M109" s="20" t="inlineStr">
        <is>
          <t>Getraenke</t>
        </is>
      </c>
      <c r="N109" s="12" t="n">
        <v>256512</v>
      </c>
      <c r="O109" s="12" t="n">
        <v>243686.4</v>
      </c>
      <c r="P109" s="12" t="n">
        <v>414.16</v>
      </c>
      <c r="Q109" s="12" t="n">
        <v>267.2</v>
      </c>
    </row>
    <row r="110">
      <c r="A110" s="11" t="n">
        <v>45732</v>
      </c>
      <c r="B110" s="20" t="inlineStr">
        <is>
          <t>Alpenmarkt GmbH</t>
        </is>
      </c>
      <c r="C110" s="20" t="inlineStr">
        <is>
          <t>DE-Sued</t>
        </is>
      </c>
      <c r="D110" s="20" t="inlineStr">
        <is>
          <t>Non-Food</t>
        </is>
      </c>
      <c r="E110" s="12" t="n">
        <v>14352</v>
      </c>
      <c r="F110" s="12" t="n">
        <v>179400</v>
      </c>
      <c r="G110" s="12" t="n">
        <v>95.68000000000001</v>
      </c>
      <c r="H110" s="12" t="n">
        <v>59.8</v>
      </c>
      <c r="J110" s="11" t="n">
        <v>46097</v>
      </c>
      <c r="K110" s="20" t="inlineStr">
        <is>
          <t>Mainpunkt Handel</t>
        </is>
      </c>
      <c r="L110" s="20" t="inlineStr">
        <is>
          <t>DE-Mitte</t>
        </is>
      </c>
      <c r="M110" s="20" t="inlineStr">
        <is>
          <t>Getraenke</t>
        </is>
      </c>
      <c r="N110" s="12" t="n">
        <v>177504</v>
      </c>
      <c r="O110" s="12" t="n">
        <v>168628.8</v>
      </c>
      <c r="P110" s="12" t="n">
        <v>286.6</v>
      </c>
      <c r="Q110" s="12" t="n">
        <v>184.9</v>
      </c>
    </row>
    <row r="111">
      <c r="A111" s="11" t="n">
        <v>45733</v>
      </c>
      <c r="B111" s="20" t="inlineStr">
        <is>
          <t>Hessen Vertrieb GmbH</t>
        </is>
      </c>
      <c r="C111" s="20" t="inlineStr">
        <is>
          <t>DE-Mitte</t>
        </is>
      </c>
      <c r="D111" s="20" t="inlineStr">
        <is>
          <t>Kuehlware</t>
        </is>
      </c>
      <c r="E111" s="12" t="n">
        <v>32496</v>
      </c>
      <c r="F111" s="12" t="n">
        <v>110486.4</v>
      </c>
      <c r="G111" s="12" t="n">
        <v>88.01000000000001</v>
      </c>
      <c r="H111" s="12" t="n">
        <v>67.7</v>
      </c>
      <c r="J111" s="11" t="n">
        <v>46097</v>
      </c>
      <c r="K111" s="20" t="inlineStr">
        <is>
          <t>Elbe Handel GmbH</t>
        </is>
      </c>
      <c r="L111" s="20" t="inlineStr">
        <is>
          <t>DE-Nord</t>
        </is>
      </c>
      <c r="M111" s="20" t="inlineStr">
        <is>
          <t>Trockensortiment</t>
        </is>
      </c>
      <c r="N111" s="12" t="n">
        <v>146232</v>
      </c>
      <c r="O111" s="12" t="n">
        <v>270529.2</v>
      </c>
      <c r="P111" s="12" t="n">
        <v>294.5</v>
      </c>
      <c r="Q111" s="12" t="n">
        <v>203.1</v>
      </c>
    </row>
    <row r="112">
      <c r="A112" s="11" t="n">
        <v>45733</v>
      </c>
      <c r="B112" s="20" t="inlineStr">
        <is>
          <t>Kuestenlager KG</t>
        </is>
      </c>
      <c r="C112" s="20" t="inlineStr">
        <is>
          <t>DE-Nord</t>
        </is>
      </c>
      <c r="D112" s="20" t="inlineStr">
        <is>
          <t>Trockensortiment</t>
        </is>
      </c>
      <c r="E112" s="12" t="n">
        <v>135864</v>
      </c>
      <c r="F112" s="12" t="n">
        <v>251348.4</v>
      </c>
      <c r="G112" s="12" t="n">
        <v>273.61</v>
      </c>
      <c r="H112" s="12" t="n">
        <v>188.7</v>
      </c>
      <c r="J112" s="11" t="n">
        <v>46098</v>
      </c>
      <c r="K112" s="20" t="inlineStr">
        <is>
          <t>Hessen Vertrieb GmbH</t>
        </is>
      </c>
      <c r="L112" s="20" t="inlineStr">
        <is>
          <t>DE-Mitte</t>
        </is>
      </c>
      <c r="M112" s="20" t="inlineStr">
        <is>
          <t>Kuehlware</t>
        </is>
      </c>
      <c r="N112" s="12" t="n">
        <v>38352</v>
      </c>
      <c r="O112" s="12" t="n">
        <v>130396.8</v>
      </c>
      <c r="P112" s="12" t="n">
        <v>103.87</v>
      </c>
      <c r="Q112" s="12" t="n">
        <v>79.90000000000001</v>
      </c>
    </row>
    <row r="113">
      <c r="A113" s="11" t="n">
        <v>45734</v>
      </c>
      <c r="B113" s="20" t="inlineStr">
        <is>
          <t>Delta Foods BV</t>
        </is>
      </c>
      <c r="C113" s="20" t="inlineStr">
        <is>
          <t>NL</t>
        </is>
      </c>
      <c r="D113" s="20" t="inlineStr">
        <is>
          <t>Aktionsware</t>
        </is>
      </c>
      <c r="E113" s="12" t="n">
        <v>4356</v>
      </c>
      <c r="F113" s="12" t="n">
        <v>27007.2</v>
      </c>
      <c r="G113" s="12" t="n">
        <v>18.15</v>
      </c>
      <c r="H113" s="12" t="n">
        <v>12.1</v>
      </c>
      <c r="J113" s="11" t="n">
        <v>46098</v>
      </c>
      <c r="K113" s="20" t="inlineStr">
        <is>
          <t>Odra Handel Sp.</t>
        </is>
      </c>
      <c r="L113" s="20" t="inlineStr">
        <is>
          <t>PL</t>
        </is>
      </c>
      <c r="M113" s="20" t="inlineStr">
        <is>
          <t>Kuehlware</t>
        </is>
      </c>
      <c r="N113" s="12" t="n">
        <v>8352</v>
      </c>
      <c r="O113" s="12" t="n">
        <v>28396.8</v>
      </c>
      <c r="P113" s="12" t="n">
        <v>22.62</v>
      </c>
      <c r="Q113" s="12" t="n">
        <v>17.4</v>
      </c>
    </row>
    <row r="114">
      <c r="A114" s="11" t="n">
        <v>45736</v>
      </c>
      <c r="B114" s="20" t="inlineStr">
        <is>
          <t>Hessen Vertrieb GmbH</t>
        </is>
      </c>
      <c r="C114" s="20" t="inlineStr">
        <is>
          <t>DE-Mitte</t>
        </is>
      </c>
      <c r="D114" s="20" t="inlineStr">
        <is>
          <t>Getraenke</t>
        </is>
      </c>
      <c r="E114" s="12" t="n">
        <v>153024</v>
      </c>
      <c r="F114" s="12" t="n">
        <v>145372.8</v>
      </c>
      <c r="G114" s="12" t="n">
        <v>247.07</v>
      </c>
      <c r="H114" s="12" t="n">
        <v>159.4</v>
      </c>
      <c r="J114" s="11" t="n">
        <v>46099</v>
      </c>
      <c r="K114" s="20" t="inlineStr">
        <is>
          <t>Spree Markt AG</t>
        </is>
      </c>
      <c r="L114" s="20" t="inlineStr">
        <is>
          <t>DE-Ost</t>
        </is>
      </c>
      <c r="M114" s="20" t="inlineStr">
        <is>
          <t>Aktionsware</t>
        </is>
      </c>
      <c r="N114" s="12" t="n">
        <v>6804</v>
      </c>
      <c r="O114" s="12" t="n">
        <v>42184.8</v>
      </c>
      <c r="P114" s="12" t="n">
        <v>28.35</v>
      </c>
      <c r="Q114" s="12" t="n">
        <v>18.9</v>
      </c>
    </row>
    <row r="115">
      <c r="A115" s="11" t="n">
        <v>45736</v>
      </c>
      <c r="B115" s="20" t="inlineStr">
        <is>
          <t>Nordmarkt AG</t>
        </is>
      </c>
      <c r="C115" s="20" t="inlineStr">
        <is>
          <t>DE-Nord</t>
        </is>
      </c>
      <c r="D115" s="20" t="inlineStr">
        <is>
          <t>Aktionsware</t>
        </is>
      </c>
      <c r="E115" s="12" t="n">
        <v>8928</v>
      </c>
      <c r="F115" s="12" t="n">
        <v>55353.6</v>
      </c>
      <c r="G115" s="12" t="n">
        <v>37.2</v>
      </c>
      <c r="H115" s="12" t="n">
        <v>24.8</v>
      </c>
      <c r="J115" s="11" t="n">
        <v>46099</v>
      </c>
      <c r="K115" s="20" t="inlineStr">
        <is>
          <t>Alpenmarkt GmbH</t>
        </is>
      </c>
      <c r="L115" s="20" t="inlineStr">
        <is>
          <t>DE-Sued</t>
        </is>
      </c>
      <c r="M115" s="20" t="inlineStr">
        <is>
          <t>Kuehlware</t>
        </is>
      </c>
      <c r="N115" s="12" t="n">
        <v>47184</v>
      </c>
      <c r="O115" s="12" t="n">
        <v>160425.6</v>
      </c>
      <c r="P115" s="12" t="n">
        <v>127.79</v>
      </c>
      <c r="Q115" s="12" t="n">
        <v>98.3</v>
      </c>
    </row>
    <row r="116">
      <c r="A116" s="11" t="n">
        <v>45736</v>
      </c>
      <c r="B116" s="20" t="inlineStr">
        <is>
          <t>Rheinland Retail SE</t>
        </is>
      </c>
      <c r="C116" s="20" t="inlineStr">
        <is>
          <t>DE-West</t>
        </is>
      </c>
      <c r="D116" s="20" t="inlineStr">
        <is>
          <t>Non-Food</t>
        </is>
      </c>
      <c r="E116" s="12" t="n">
        <v>15408</v>
      </c>
      <c r="F116" s="12" t="n">
        <v>192600</v>
      </c>
      <c r="G116" s="12" t="n">
        <v>102.72</v>
      </c>
      <c r="H116" s="12" t="n">
        <v>64.2</v>
      </c>
      <c r="J116" s="11" t="n">
        <v>46099</v>
      </c>
      <c r="K116" s="20" t="inlineStr">
        <is>
          <t>Rheinland Retail SE</t>
        </is>
      </c>
      <c r="L116" s="20" t="inlineStr">
        <is>
          <t>DE-West</t>
        </is>
      </c>
      <c r="M116" s="20" t="inlineStr">
        <is>
          <t>Aktionsware</t>
        </is>
      </c>
      <c r="N116" s="12" t="n">
        <v>14508</v>
      </c>
      <c r="O116" s="12" t="n">
        <v>89949.60000000001</v>
      </c>
      <c r="P116" s="12" t="n">
        <v>60.45</v>
      </c>
      <c r="Q116" s="12" t="n">
        <v>40.3</v>
      </c>
    </row>
    <row r="117">
      <c r="A117" s="11" t="n">
        <v>45736</v>
      </c>
      <c r="B117" s="20" t="inlineStr">
        <is>
          <t>Odra Handel Sp.</t>
        </is>
      </c>
      <c r="C117" s="20" t="inlineStr">
        <is>
          <t>PL</t>
        </is>
      </c>
      <c r="D117" s="20" t="inlineStr">
        <is>
          <t>Aktionsware</t>
        </is>
      </c>
      <c r="E117" s="12" t="n">
        <v>17316</v>
      </c>
      <c r="F117" s="12" t="n">
        <v>107359.2</v>
      </c>
      <c r="G117" s="12" t="n">
        <v>72.15000000000001</v>
      </c>
      <c r="H117" s="12" t="n">
        <v>48.1</v>
      </c>
      <c r="J117" s="11" t="n">
        <v>46099</v>
      </c>
      <c r="K117" s="20" t="inlineStr">
        <is>
          <t>Rheinland Retail SE</t>
        </is>
      </c>
      <c r="L117" s="20" t="inlineStr">
        <is>
          <t>DE-West</t>
        </is>
      </c>
      <c r="M117" s="20" t="inlineStr">
        <is>
          <t>Kuehlware</t>
        </is>
      </c>
      <c r="N117" s="12" t="n">
        <v>61728</v>
      </c>
      <c r="O117" s="12" t="n">
        <v>209875.2</v>
      </c>
      <c r="P117" s="12" t="n">
        <v>167.18</v>
      </c>
      <c r="Q117" s="12" t="n">
        <v>128.6</v>
      </c>
    </row>
    <row r="118">
      <c r="A118" s="11" t="n">
        <v>45737</v>
      </c>
      <c r="B118" s="20" t="inlineStr">
        <is>
          <t>Tirol Handel AG</t>
        </is>
      </c>
      <c r="C118" s="20" t="inlineStr">
        <is>
          <t>AT</t>
        </is>
      </c>
      <c r="D118" s="20" t="inlineStr">
        <is>
          <t>Kuehlware</t>
        </is>
      </c>
      <c r="E118" s="12" t="n">
        <v>14304</v>
      </c>
      <c r="F118" s="12" t="n">
        <v>48633.6</v>
      </c>
      <c r="G118" s="12" t="n">
        <v>38.74</v>
      </c>
      <c r="H118" s="12" t="n">
        <v>29.8</v>
      </c>
      <c r="J118" s="11" t="n">
        <v>46100</v>
      </c>
      <c r="K118" s="20" t="inlineStr">
        <is>
          <t>Odra Handel Sp.</t>
        </is>
      </c>
      <c r="L118" s="20" t="inlineStr">
        <is>
          <t>PL</t>
        </is>
      </c>
      <c r="M118" s="20" t="inlineStr">
        <is>
          <t>Non-Food</t>
        </is>
      </c>
      <c r="N118" s="12" t="n">
        <v>13656</v>
      </c>
      <c r="O118" s="12" t="n">
        <v>170700</v>
      </c>
      <c r="P118" s="12" t="n">
        <v>91.04000000000001</v>
      </c>
      <c r="Q118" s="12" t="n">
        <v>56.9</v>
      </c>
    </row>
    <row r="119">
      <c r="A119" s="11" t="n">
        <v>45737</v>
      </c>
      <c r="B119" s="20" t="inlineStr">
        <is>
          <t>Spree Markt AG</t>
        </is>
      </c>
      <c r="C119" s="20" t="inlineStr">
        <is>
          <t>DE-Ost</t>
        </is>
      </c>
      <c r="D119" s="20" t="inlineStr">
        <is>
          <t>Non-Food</t>
        </is>
      </c>
      <c r="E119" s="12" t="n">
        <v>8376</v>
      </c>
      <c r="F119" s="12" t="n">
        <v>104700</v>
      </c>
      <c r="G119" s="12" t="n">
        <v>55.84</v>
      </c>
      <c r="H119" s="12" t="n">
        <v>34.9</v>
      </c>
      <c r="J119" s="11" t="n">
        <v>46101</v>
      </c>
      <c r="K119" s="20" t="inlineStr">
        <is>
          <t>Donau Handel AG</t>
        </is>
      </c>
      <c r="L119" s="20" t="inlineStr">
        <is>
          <t>DE-Sued</t>
        </is>
      </c>
      <c r="M119" s="20" t="inlineStr">
        <is>
          <t>Trockensortiment</t>
        </is>
      </c>
      <c r="N119" s="12" t="n">
        <v>146952</v>
      </c>
      <c r="O119" s="12" t="n">
        <v>271861.2</v>
      </c>
      <c r="P119" s="12" t="n">
        <v>295.94</v>
      </c>
      <c r="Q119" s="12" t="n">
        <v>204.1</v>
      </c>
    </row>
    <row r="120">
      <c r="A120" s="11" t="n">
        <v>45737</v>
      </c>
      <c r="B120" s="20" t="inlineStr">
        <is>
          <t>Spree Markt AG</t>
        </is>
      </c>
      <c r="C120" s="20" t="inlineStr">
        <is>
          <t>DE-Ost</t>
        </is>
      </c>
      <c r="D120" s="20" t="inlineStr">
        <is>
          <t>Trockensortiment</t>
        </is>
      </c>
      <c r="E120" s="12" t="n">
        <v>70632</v>
      </c>
      <c r="F120" s="12" t="n">
        <v>130669.2</v>
      </c>
      <c r="G120" s="12" t="n">
        <v>142.24</v>
      </c>
      <c r="H120" s="12" t="n">
        <v>98.09999999999999</v>
      </c>
      <c r="J120" s="11" t="n">
        <v>46102</v>
      </c>
      <c r="K120" s="20" t="inlineStr">
        <is>
          <t>Tirol Handel AG</t>
        </is>
      </c>
      <c r="L120" s="20" t="inlineStr">
        <is>
          <t>AT</t>
        </is>
      </c>
      <c r="M120" s="20" t="inlineStr">
        <is>
          <t>Trockensortiment</t>
        </is>
      </c>
      <c r="N120" s="12" t="n">
        <v>37512</v>
      </c>
      <c r="O120" s="12" t="n">
        <v>69397.2</v>
      </c>
      <c r="P120" s="12" t="n">
        <v>75.55</v>
      </c>
      <c r="Q120" s="12" t="n">
        <v>52.1</v>
      </c>
    </row>
    <row r="121">
      <c r="A121" s="11" t="n">
        <v>45737</v>
      </c>
      <c r="B121" s="20" t="inlineStr">
        <is>
          <t>Delta Foods BV</t>
        </is>
      </c>
      <c r="C121" s="20" t="inlineStr">
        <is>
          <t>NL</t>
        </is>
      </c>
      <c r="D121" s="20" t="inlineStr">
        <is>
          <t>Kuehlware</t>
        </is>
      </c>
      <c r="E121" s="12" t="n">
        <v>28416</v>
      </c>
      <c r="F121" s="12" t="n">
        <v>96614.39999999999</v>
      </c>
      <c r="G121" s="12" t="n">
        <v>76.95999999999999</v>
      </c>
      <c r="H121" s="12" t="n">
        <v>59.2</v>
      </c>
      <c r="J121" s="11" t="n">
        <v>46102</v>
      </c>
      <c r="K121" s="20" t="inlineStr">
        <is>
          <t>Sachsen Handel GmbH</t>
        </is>
      </c>
      <c r="L121" s="20" t="inlineStr">
        <is>
          <t>DE-Ost</t>
        </is>
      </c>
      <c r="M121" s="20" t="inlineStr">
        <is>
          <t>Kuehlware</t>
        </is>
      </c>
      <c r="N121" s="12" t="n">
        <v>34560</v>
      </c>
      <c r="O121" s="12" t="n">
        <v>117504</v>
      </c>
      <c r="P121" s="12" t="n">
        <v>93.59999999999999</v>
      </c>
      <c r="Q121" s="12" t="n">
        <v>72</v>
      </c>
    </row>
    <row r="122">
      <c r="A122" s="11" t="n">
        <v>45737</v>
      </c>
      <c r="B122" s="20" t="inlineStr">
        <is>
          <t>Wisla Retail Sp.</t>
        </is>
      </c>
      <c r="C122" s="20" t="inlineStr">
        <is>
          <t>PL</t>
        </is>
      </c>
      <c r="D122" s="20" t="inlineStr">
        <is>
          <t>Kuehlware</t>
        </is>
      </c>
      <c r="E122" s="12" t="n">
        <v>8304</v>
      </c>
      <c r="F122" s="12" t="n">
        <v>28233.6</v>
      </c>
      <c r="G122" s="12" t="n">
        <v>22.49</v>
      </c>
      <c r="H122" s="12" t="n">
        <v>17.3</v>
      </c>
      <c r="J122" s="11" t="n">
        <v>46103</v>
      </c>
      <c r="K122" s="20" t="inlineStr">
        <is>
          <t>Kuestenlager KG</t>
        </is>
      </c>
      <c r="L122" s="20" t="inlineStr">
        <is>
          <t>DE-Nord</t>
        </is>
      </c>
      <c r="M122" s="20" t="inlineStr">
        <is>
          <t>Getraenke</t>
        </is>
      </c>
      <c r="N122" s="12" t="n">
        <v>185664</v>
      </c>
      <c r="O122" s="12" t="n">
        <v>176380.8</v>
      </c>
      <c r="P122" s="12" t="n">
        <v>299.77</v>
      </c>
      <c r="Q122" s="12" t="n">
        <v>193.4</v>
      </c>
    </row>
    <row r="123">
      <c r="A123" s="11" t="n">
        <v>45740</v>
      </c>
      <c r="B123" s="20" t="inlineStr">
        <is>
          <t>Austria Markt GmbH</t>
        </is>
      </c>
      <c r="C123" s="20" t="inlineStr">
        <is>
          <t>AT</t>
        </is>
      </c>
      <c r="D123" s="20" t="inlineStr">
        <is>
          <t>Trockensortiment</t>
        </is>
      </c>
      <c r="E123" s="12" t="n">
        <v>37512</v>
      </c>
      <c r="F123" s="12" t="n">
        <v>69397.2</v>
      </c>
      <c r="G123" s="12" t="n">
        <v>75.55</v>
      </c>
      <c r="H123" s="12" t="n">
        <v>52.1</v>
      </c>
      <c r="J123" s="11" t="n">
        <v>46104</v>
      </c>
      <c r="K123" s="20" t="inlineStr">
        <is>
          <t>Sachsen Handel GmbH</t>
        </is>
      </c>
      <c r="L123" s="20" t="inlineStr">
        <is>
          <t>DE-Ost</t>
        </is>
      </c>
      <c r="M123" s="20" t="inlineStr">
        <is>
          <t>Getraenke</t>
        </is>
      </c>
      <c r="N123" s="12" t="n">
        <v>146400</v>
      </c>
      <c r="O123" s="12" t="n">
        <v>139080</v>
      </c>
      <c r="P123" s="12" t="n">
        <v>236.38</v>
      </c>
      <c r="Q123" s="12" t="n">
        <v>152.5</v>
      </c>
    </row>
    <row r="124">
      <c r="A124" s="11" t="n">
        <v>45740</v>
      </c>
      <c r="B124" s="20" t="inlineStr">
        <is>
          <t>Alpenmarkt GmbH</t>
        </is>
      </c>
      <c r="C124" s="20" t="inlineStr">
        <is>
          <t>DE-Sued</t>
        </is>
      </c>
      <c r="D124" s="20" t="inlineStr">
        <is>
          <t>Aktionsware</t>
        </is>
      </c>
      <c r="E124" s="12" t="n">
        <v>10800</v>
      </c>
      <c r="F124" s="12" t="n">
        <v>66960</v>
      </c>
      <c r="G124" s="12" t="n">
        <v>45</v>
      </c>
      <c r="H124" s="12" t="n">
        <v>30</v>
      </c>
      <c r="J124" s="11" t="n">
        <v>46104</v>
      </c>
      <c r="K124" s="20" t="inlineStr">
        <is>
          <t>Wisla Retail Sp.</t>
        </is>
      </c>
      <c r="L124" s="20" t="inlineStr">
        <is>
          <t>PL</t>
        </is>
      </c>
      <c r="M124" s="20" t="inlineStr">
        <is>
          <t>Trockensortiment</t>
        </is>
      </c>
      <c r="N124" s="12" t="n">
        <v>30096</v>
      </c>
      <c r="O124" s="12" t="n">
        <v>55677.6</v>
      </c>
      <c r="P124" s="12" t="n">
        <v>60.61</v>
      </c>
      <c r="Q124" s="12" t="n">
        <v>41.8</v>
      </c>
    </row>
    <row r="125">
      <c r="A125" s="11" t="n">
        <v>45740</v>
      </c>
      <c r="B125" s="20" t="inlineStr">
        <is>
          <t>Odra Handel Sp.</t>
        </is>
      </c>
      <c r="C125" s="20" t="inlineStr">
        <is>
          <t>PL</t>
        </is>
      </c>
      <c r="D125" s="20" t="inlineStr">
        <is>
          <t>Trockensortiment</t>
        </is>
      </c>
      <c r="E125" s="12" t="n">
        <v>27216</v>
      </c>
      <c r="F125" s="12" t="n">
        <v>50349.6</v>
      </c>
      <c r="G125" s="12" t="n">
        <v>54.81</v>
      </c>
      <c r="H125" s="12" t="n">
        <v>37.8</v>
      </c>
      <c r="J125" s="11" t="n">
        <v>46105</v>
      </c>
      <c r="K125" s="20" t="inlineStr">
        <is>
          <t>Hessen Vertrieb GmbH</t>
        </is>
      </c>
      <c r="L125" s="20" t="inlineStr">
        <is>
          <t>DE-Mitte</t>
        </is>
      </c>
      <c r="M125" s="20" t="inlineStr">
        <is>
          <t>Non-Food</t>
        </is>
      </c>
      <c r="N125" s="12" t="n">
        <v>10032</v>
      </c>
      <c r="O125" s="12" t="n">
        <v>125400</v>
      </c>
      <c r="P125" s="12" t="n">
        <v>66.88</v>
      </c>
      <c r="Q125" s="12" t="n">
        <v>41.8</v>
      </c>
    </row>
    <row r="126">
      <c r="A126" s="11" t="n">
        <v>45748</v>
      </c>
      <c r="B126" s="20" t="inlineStr">
        <is>
          <t>Spree Markt AG</t>
        </is>
      </c>
      <c r="C126" s="20" t="inlineStr">
        <is>
          <t>DE-Ost</t>
        </is>
      </c>
      <c r="D126" s="20" t="inlineStr">
        <is>
          <t>Trockensortiment</t>
        </is>
      </c>
      <c r="E126" s="12" t="n">
        <v>70848</v>
      </c>
      <c r="F126" s="12" t="n">
        <v>131068.8</v>
      </c>
      <c r="G126" s="12" t="n">
        <v>142.68</v>
      </c>
      <c r="H126" s="12" t="n">
        <v>98.40000000000001</v>
      </c>
      <c r="J126" s="11" t="n">
        <v>46113</v>
      </c>
      <c r="K126" s="20" t="inlineStr">
        <is>
          <t>Mainpunkt Handel</t>
        </is>
      </c>
      <c r="L126" s="20" t="inlineStr">
        <is>
          <t>DE-Mitte</t>
        </is>
      </c>
      <c r="M126" s="20" t="inlineStr">
        <is>
          <t>Kuehlware</t>
        </is>
      </c>
      <c r="N126" s="12" t="n">
        <v>34560</v>
      </c>
      <c r="O126" s="12" t="n">
        <v>117504</v>
      </c>
      <c r="P126" s="12" t="n">
        <v>93.59999999999999</v>
      </c>
      <c r="Q126" s="12" t="n">
        <v>72</v>
      </c>
    </row>
    <row r="127">
      <c r="A127" s="11" t="n">
        <v>45749</v>
      </c>
      <c r="B127" s="20" t="inlineStr">
        <is>
          <t>Alpenmarkt GmbH</t>
        </is>
      </c>
      <c r="C127" s="20" t="inlineStr">
        <is>
          <t>DE-Sued</t>
        </is>
      </c>
      <c r="D127" s="20" t="inlineStr">
        <is>
          <t>Getraenke</t>
        </is>
      </c>
      <c r="E127" s="12" t="n">
        <v>266400</v>
      </c>
      <c r="F127" s="12" t="n">
        <v>253080</v>
      </c>
      <c r="G127" s="12" t="n">
        <v>430.12</v>
      </c>
      <c r="H127" s="12" t="n">
        <v>277.5</v>
      </c>
      <c r="J127" s="11" t="n">
        <v>46113</v>
      </c>
      <c r="K127" s="20" t="inlineStr">
        <is>
          <t>Delta Foods BV</t>
        </is>
      </c>
      <c r="L127" s="20" t="inlineStr">
        <is>
          <t>NL</t>
        </is>
      </c>
      <c r="M127" s="20" t="inlineStr">
        <is>
          <t>Kuehlware</t>
        </is>
      </c>
      <c r="N127" s="12" t="n">
        <v>25248</v>
      </c>
      <c r="O127" s="12" t="n">
        <v>85843.2</v>
      </c>
      <c r="P127" s="12" t="n">
        <v>68.38</v>
      </c>
      <c r="Q127" s="12" t="n">
        <v>52.6</v>
      </c>
    </row>
    <row r="128">
      <c r="A128" s="11" t="n">
        <v>45749</v>
      </c>
      <c r="B128" s="20" t="inlineStr">
        <is>
          <t>Delta Foods BV</t>
        </is>
      </c>
      <c r="C128" s="20" t="inlineStr">
        <is>
          <t>NL</t>
        </is>
      </c>
      <c r="D128" s="20" t="inlineStr">
        <is>
          <t>Non-Food</t>
        </is>
      </c>
      <c r="E128" s="12" t="n">
        <v>6984</v>
      </c>
      <c r="F128" s="12" t="n">
        <v>87300</v>
      </c>
      <c r="G128" s="12" t="n">
        <v>46.56</v>
      </c>
      <c r="H128" s="12" t="n">
        <v>29.1</v>
      </c>
      <c r="J128" s="11" t="n">
        <v>46115</v>
      </c>
      <c r="K128" s="20" t="inlineStr">
        <is>
          <t>Nordmarkt AG</t>
        </is>
      </c>
      <c r="L128" s="20" t="inlineStr">
        <is>
          <t>DE-Nord</t>
        </is>
      </c>
      <c r="M128" s="20" t="inlineStr">
        <is>
          <t>Trockensortiment</t>
        </is>
      </c>
      <c r="N128" s="12" t="n">
        <v>131112</v>
      </c>
      <c r="O128" s="12" t="n">
        <v>242557.2</v>
      </c>
      <c r="P128" s="12" t="n">
        <v>264.04</v>
      </c>
      <c r="Q128" s="12" t="n">
        <v>182.1</v>
      </c>
    </row>
    <row r="129">
      <c r="A129" s="11" t="n">
        <v>45750</v>
      </c>
      <c r="B129" s="20" t="inlineStr">
        <is>
          <t>Ruhr Frische GmbH</t>
        </is>
      </c>
      <c r="C129" s="20" t="inlineStr">
        <is>
          <t>DE-West</t>
        </is>
      </c>
      <c r="D129" s="20" t="inlineStr">
        <is>
          <t>Getraenke</t>
        </is>
      </c>
      <c r="E129" s="12" t="n">
        <v>287136</v>
      </c>
      <c r="F129" s="12" t="n">
        <v>272779.2</v>
      </c>
      <c r="G129" s="12" t="n">
        <v>463.61</v>
      </c>
      <c r="H129" s="12" t="n">
        <v>299.1</v>
      </c>
      <c r="J129" s="11" t="n">
        <v>46115</v>
      </c>
      <c r="K129" s="20" t="inlineStr">
        <is>
          <t>Spree Markt AG</t>
        </is>
      </c>
      <c r="L129" s="20" t="inlineStr">
        <is>
          <t>DE-Ost</t>
        </is>
      </c>
      <c r="M129" s="20" t="inlineStr">
        <is>
          <t>Trockensortiment</t>
        </is>
      </c>
      <c r="N129" s="12" t="n">
        <v>75168</v>
      </c>
      <c r="O129" s="12" t="n">
        <v>139060.8</v>
      </c>
      <c r="P129" s="12" t="n">
        <v>151.38</v>
      </c>
      <c r="Q129" s="12" t="n">
        <v>104.4</v>
      </c>
    </row>
    <row r="130">
      <c r="A130" s="11" t="n">
        <v>45750</v>
      </c>
      <c r="B130" s="20" t="inlineStr">
        <is>
          <t>Wisla Retail Sp.</t>
        </is>
      </c>
      <c r="C130" s="20" t="inlineStr">
        <is>
          <t>PL</t>
        </is>
      </c>
      <c r="D130" s="20" t="inlineStr">
        <is>
          <t>Trockensortiment</t>
        </is>
      </c>
      <c r="E130" s="12" t="n">
        <v>26568</v>
      </c>
      <c r="F130" s="12" t="n">
        <v>49150.8</v>
      </c>
      <c r="G130" s="12" t="n">
        <v>53.5</v>
      </c>
      <c r="H130" s="12" t="n">
        <v>36.9</v>
      </c>
      <c r="J130" s="11" t="n">
        <v>46115</v>
      </c>
      <c r="K130" s="20" t="inlineStr">
        <is>
          <t>Odra Handel Sp.</t>
        </is>
      </c>
      <c r="L130" s="20" t="inlineStr">
        <is>
          <t>PL</t>
        </is>
      </c>
      <c r="M130" s="20" t="inlineStr">
        <is>
          <t>Non-Food</t>
        </is>
      </c>
      <c r="N130" s="12" t="n">
        <v>12552</v>
      </c>
      <c r="O130" s="12" t="n">
        <v>156900</v>
      </c>
      <c r="P130" s="12" t="n">
        <v>83.68000000000001</v>
      </c>
      <c r="Q130" s="12" t="n">
        <v>52.3</v>
      </c>
    </row>
    <row r="131">
      <c r="A131" s="11" t="n">
        <v>45752</v>
      </c>
      <c r="B131" s="20" t="inlineStr">
        <is>
          <t>Tirol Handel AG</t>
        </is>
      </c>
      <c r="C131" s="20" t="inlineStr">
        <is>
          <t>AT</t>
        </is>
      </c>
      <c r="D131" s="20" t="inlineStr">
        <is>
          <t>Getraenke</t>
        </is>
      </c>
      <c r="E131" s="12" t="n">
        <v>75264</v>
      </c>
      <c r="F131" s="12" t="n">
        <v>71500.8</v>
      </c>
      <c r="G131" s="12" t="n">
        <v>121.52</v>
      </c>
      <c r="H131" s="12" t="n">
        <v>78.40000000000001</v>
      </c>
      <c r="J131" s="11" t="n">
        <v>46116</v>
      </c>
      <c r="K131" s="20" t="inlineStr">
        <is>
          <t>Westfilial AG</t>
        </is>
      </c>
      <c r="L131" s="20" t="inlineStr">
        <is>
          <t>DE-West</t>
        </is>
      </c>
      <c r="M131" s="20" t="inlineStr">
        <is>
          <t>Aktionsware</t>
        </is>
      </c>
      <c r="N131" s="12" t="n">
        <v>10908</v>
      </c>
      <c r="O131" s="12" t="n">
        <v>67629.60000000001</v>
      </c>
      <c r="P131" s="12" t="n">
        <v>45.45</v>
      </c>
      <c r="Q131" s="12" t="n">
        <v>30.3</v>
      </c>
    </row>
    <row r="132">
      <c r="A132" s="11" t="n">
        <v>45755</v>
      </c>
      <c r="B132" s="20" t="inlineStr">
        <is>
          <t>Elbe Handel GmbH</t>
        </is>
      </c>
      <c r="C132" s="20" t="inlineStr">
        <is>
          <t>DE-Nord</t>
        </is>
      </c>
      <c r="D132" s="20" t="inlineStr">
        <is>
          <t>Non-Food</t>
        </is>
      </c>
      <c r="E132" s="12" t="n">
        <v>10584</v>
      </c>
      <c r="F132" s="12" t="n">
        <v>132300</v>
      </c>
      <c r="G132" s="12" t="n">
        <v>70.56</v>
      </c>
      <c r="H132" s="12" t="n">
        <v>44.1</v>
      </c>
      <c r="J132" s="11" t="n">
        <v>46117</v>
      </c>
      <c r="K132" s="20" t="inlineStr">
        <is>
          <t>Tirol Handel AG</t>
        </is>
      </c>
      <c r="L132" s="20" t="inlineStr">
        <is>
          <t>AT</t>
        </is>
      </c>
      <c r="M132" s="20" t="inlineStr">
        <is>
          <t>Non-Food</t>
        </is>
      </c>
      <c r="N132" s="12" t="n">
        <v>5112</v>
      </c>
      <c r="O132" s="12" t="n">
        <v>63900</v>
      </c>
      <c r="P132" s="12" t="n">
        <v>34.08</v>
      </c>
      <c r="Q132" s="12" t="n">
        <v>21.3</v>
      </c>
    </row>
    <row r="133">
      <c r="A133" s="11" t="n">
        <v>45756</v>
      </c>
      <c r="B133" s="20" t="inlineStr">
        <is>
          <t>Hessen Vertrieb GmbH</t>
        </is>
      </c>
      <c r="C133" s="20" t="inlineStr">
        <is>
          <t>DE-Mitte</t>
        </is>
      </c>
      <c r="D133" s="20" t="inlineStr">
        <is>
          <t>Non-Food</t>
        </is>
      </c>
      <c r="E133" s="12" t="n">
        <v>9432</v>
      </c>
      <c r="F133" s="12" t="n">
        <v>117900</v>
      </c>
      <c r="G133" s="12" t="n">
        <v>62.88</v>
      </c>
      <c r="H133" s="12" t="n">
        <v>39.3</v>
      </c>
      <c r="J133" s="11" t="n">
        <v>46117</v>
      </c>
      <c r="K133" s="20" t="inlineStr">
        <is>
          <t>Ruhr Frische GmbH</t>
        </is>
      </c>
      <c r="L133" s="20" t="inlineStr">
        <is>
          <t>DE-West</t>
        </is>
      </c>
      <c r="M133" s="20" t="inlineStr">
        <is>
          <t>Kuehlware</t>
        </is>
      </c>
      <c r="N133" s="12" t="n">
        <v>69216</v>
      </c>
      <c r="O133" s="12" t="n">
        <v>235334.4</v>
      </c>
      <c r="P133" s="12" t="n">
        <v>187.46</v>
      </c>
      <c r="Q133" s="12" t="n">
        <v>144.2</v>
      </c>
    </row>
    <row r="134">
      <c r="A134" s="11" t="n">
        <v>45757</v>
      </c>
      <c r="B134" s="20" t="inlineStr">
        <is>
          <t>Odra Handel Sp.</t>
        </is>
      </c>
      <c r="C134" s="20" t="inlineStr">
        <is>
          <t>PL</t>
        </is>
      </c>
      <c r="D134" s="20" t="inlineStr">
        <is>
          <t>Getraenke</t>
        </is>
      </c>
      <c r="E134" s="12" t="n">
        <v>50784</v>
      </c>
      <c r="F134" s="12" t="n">
        <v>48244.8</v>
      </c>
      <c r="G134" s="12" t="n">
        <v>82</v>
      </c>
      <c r="H134" s="12" t="n">
        <v>52.9</v>
      </c>
      <c r="J134" s="11" t="n">
        <v>46117</v>
      </c>
      <c r="K134" s="20" t="inlineStr">
        <is>
          <t>Delta Foods BV</t>
        </is>
      </c>
      <c r="L134" s="20" t="inlineStr">
        <is>
          <t>NL</t>
        </is>
      </c>
      <c r="M134" s="20" t="inlineStr">
        <is>
          <t>Non-Food</t>
        </is>
      </c>
      <c r="N134" s="12" t="n">
        <v>6960</v>
      </c>
      <c r="O134" s="12" t="n">
        <v>87000</v>
      </c>
      <c r="P134" s="12" t="n">
        <v>46.4</v>
      </c>
      <c r="Q134" s="12" t="n">
        <v>29</v>
      </c>
    </row>
    <row r="135">
      <c r="A135" s="11" t="n">
        <v>45758</v>
      </c>
      <c r="B135" s="20" t="inlineStr">
        <is>
          <t>Austria Markt GmbH</t>
        </is>
      </c>
      <c r="C135" s="20" t="inlineStr">
        <is>
          <t>AT</t>
        </is>
      </c>
      <c r="D135" s="20" t="inlineStr">
        <is>
          <t>Trockensortiment</t>
        </is>
      </c>
      <c r="E135" s="12" t="n">
        <v>38592</v>
      </c>
      <c r="F135" s="12" t="n">
        <v>71395.2</v>
      </c>
      <c r="G135" s="12" t="n">
        <v>77.72</v>
      </c>
      <c r="H135" s="12" t="n">
        <v>53.6</v>
      </c>
      <c r="J135" s="11" t="n">
        <v>46118</v>
      </c>
      <c r="K135" s="20" t="inlineStr">
        <is>
          <t>Elbe Handel GmbH</t>
        </is>
      </c>
      <c r="L135" s="20" t="inlineStr">
        <is>
          <t>DE-Nord</t>
        </is>
      </c>
      <c r="M135" s="20" t="inlineStr">
        <is>
          <t>Kuehlware</t>
        </is>
      </c>
      <c r="N135" s="12" t="n">
        <v>64896</v>
      </c>
      <c r="O135" s="12" t="n">
        <v>220646.4</v>
      </c>
      <c r="P135" s="12" t="n">
        <v>175.76</v>
      </c>
      <c r="Q135" s="12" t="n">
        <v>135.2</v>
      </c>
    </row>
    <row r="136">
      <c r="A136" s="11" t="n">
        <v>45759</v>
      </c>
      <c r="B136" s="20" t="inlineStr">
        <is>
          <t>Elbe Handel GmbH</t>
        </is>
      </c>
      <c r="C136" s="20" t="inlineStr">
        <is>
          <t>DE-Nord</t>
        </is>
      </c>
      <c r="D136" s="20" t="inlineStr">
        <is>
          <t>Aktionsware</t>
        </is>
      </c>
      <c r="E136" s="12" t="n">
        <v>7308</v>
      </c>
      <c r="F136" s="12" t="n">
        <v>45309.6</v>
      </c>
      <c r="G136" s="12" t="n">
        <v>30.45</v>
      </c>
      <c r="H136" s="12" t="n">
        <v>20.3</v>
      </c>
      <c r="J136" s="11" t="n">
        <v>46118</v>
      </c>
      <c r="K136" s="20" t="inlineStr">
        <is>
          <t>Spree Markt AG</t>
        </is>
      </c>
      <c r="L136" s="20" t="inlineStr">
        <is>
          <t>DE-Ost</t>
        </is>
      </c>
      <c r="M136" s="20" t="inlineStr">
        <is>
          <t>Getraenke</t>
        </is>
      </c>
      <c r="N136" s="12" t="n">
        <v>164640</v>
      </c>
      <c r="O136" s="12" t="n">
        <v>156408</v>
      </c>
      <c r="P136" s="12" t="n">
        <v>265.82</v>
      </c>
      <c r="Q136" s="12" t="n">
        <v>171.5</v>
      </c>
    </row>
    <row r="137">
      <c r="A137" s="11" t="n">
        <v>45759</v>
      </c>
      <c r="B137" s="20" t="inlineStr">
        <is>
          <t>Randstad Retail BV</t>
        </is>
      </c>
      <c r="C137" s="20" t="inlineStr">
        <is>
          <t>NL</t>
        </is>
      </c>
      <c r="D137" s="20" t="inlineStr">
        <is>
          <t>Kuehlware</t>
        </is>
      </c>
      <c r="E137" s="12" t="n">
        <v>25632</v>
      </c>
      <c r="F137" s="12" t="n">
        <v>87148.8</v>
      </c>
      <c r="G137" s="12" t="n">
        <v>69.42</v>
      </c>
      <c r="H137" s="12" t="n">
        <v>53.4</v>
      </c>
      <c r="J137" s="11" t="n">
        <v>46119</v>
      </c>
      <c r="K137" s="20" t="inlineStr">
        <is>
          <t>Sachsen Handel GmbH</t>
        </is>
      </c>
      <c r="L137" s="20" t="inlineStr">
        <is>
          <t>DE-Ost</t>
        </is>
      </c>
      <c r="M137" s="20" t="inlineStr">
        <is>
          <t>Aktionsware</t>
        </is>
      </c>
      <c r="N137" s="12" t="n">
        <v>6624</v>
      </c>
      <c r="O137" s="12" t="n">
        <v>41068.8</v>
      </c>
      <c r="P137" s="12" t="n">
        <v>27.6</v>
      </c>
      <c r="Q137" s="12" t="n">
        <v>18.4</v>
      </c>
    </row>
    <row r="138">
      <c r="A138" s="11" t="n">
        <v>45759</v>
      </c>
      <c r="B138" s="20" t="inlineStr">
        <is>
          <t>Wisla Retail Sp.</t>
        </is>
      </c>
      <c r="C138" s="20" t="inlineStr">
        <is>
          <t>PL</t>
        </is>
      </c>
      <c r="D138" s="20" t="inlineStr">
        <is>
          <t>Kuehlware</t>
        </is>
      </c>
      <c r="E138" s="12" t="n">
        <v>7632</v>
      </c>
      <c r="F138" s="12" t="n">
        <v>25948.8</v>
      </c>
      <c r="G138" s="12" t="n">
        <v>20.67</v>
      </c>
      <c r="H138" s="12" t="n">
        <v>15.9</v>
      </c>
      <c r="J138" s="11" t="n">
        <v>46119</v>
      </c>
      <c r="K138" s="20" t="inlineStr">
        <is>
          <t>Odra Handel Sp.</t>
        </is>
      </c>
      <c r="L138" s="20" t="inlineStr">
        <is>
          <t>PL</t>
        </is>
      </c>
      <c r="M138" s="20" t="inlineStr">
        <is>
          <t>Kuehlware</t>
        </is>
      </c>
      <c r="N138" s="12" t="n">
        <v>9408</v>
      </c>
      <c r="O138" s="12" t="n">
        <v>31987.2</v>
      </c>
      <c r="P138" s="12" t="n">
        <v>25.48</v>
      </c>
      <c r="Q138" s="12" t="n">
        <v>19.6</v>
      </c>
    </row>
    <row r="139">
      <c r="A139" s="11" t="n">
        <v>45759</v>
      </c>
      <c r="B139" s="20" t="inlineStr">
        <is>
          <t>Wisla Retail Sp.</t>
        </is>
      </c>
      <c r="C139" s="20" t="inlineStr">
        <is>
          <t>PL</t>
        </is>
      </c>
      <c r="D139" s="20" t="inlineStr">
        <is>
          <t>Non-Food</t>
        </is>
      </c>
      <c r="E139" s="12" t="n">
        <v>12432</v>
      </c>
      <c r="F139" s="12" t="n">
        <v>155400</v>
      </c>
      <c r="G139" s="12" t="n">
        <v>82.88</v>
      </c>
      <c r="H139" s="12" t="n">
        <v>51.8</v>
      </c>
      <c r="J139" s="11" t="n">
        <v>46120</v>
      </c>
      <c r="K139" s="20" t="inlineStr">
        <is>
          <t>Austria Markt GmbH</t>
        </is>
      </c>
      <c r="L139" s="20" t="inlineStr">
        <is>
          <t>AT</t>
        </is>
      </c>
      <c r="M139" s="20" t="inlineStr">
        <is>
          <t>Kuehlware</t>
        </is>
      </c>
      <c r="N139" s="12" t="n">
        <v>14880</v>
      </c>
      <c r="O139" s="12" t="n">
        <v>50592</v>
      </c>
      <c r="P139" s="12" t="n">
        <v>40.3</v>
      </c>
      <c r="Q139" s="12" t="n">
        <v>31</v>
      </c>
    </row>
    <row r="140">
      <c r="A140" s="11" t="n">
        <v>45760</v>
      </c>
      <c r="B140" s="20" t="inlineStr">
        <is>
          <t>Hessen Vertrieb GmbH</t>
        </is>
      </c>
      <c r="C140" s="20" t="inlineStr">
        <is>
          <t>DE-Mitte</t>
        </is>
      </c>
      <c r="D140" s="20" t="inlineStr">
        <is>
          <t>Kuehlware</t>
        </is>
      </c>
      <c r="E140" s="12" t="n">
        <v>37776</v>
      </c>
      <c r="F140" s="12" t="n">
        <v>128438.4</v>
      </c>
      <c r="G140" s="12" t="n">
        <v>102.31</v>
      </c>
      <c r="H140" s="12" t="n">
        <v>78.7</v>
      </c>
      <c r="J140" s="11" t="n">
        <v>46120</v>
      </c>
      <c r="K140" s="20" t="inlineStr">
        <is>
          <t>Odra Handel Sp.</t>
        </is>
      </c>
      <c r="L140" s="20" t="inlineStr">
        <is>
          <t>PL</t>
        </is>
      </c>
      <c r="M140" s="20" t="inlineStr">
        <is>
          <t>Aktionsware</t>
        </is>
      </c>
      <c r="N140" s="12" t="n">
        <v>14040</v>
      </c>
      <c r="O140" s="12" t="n">
        <v>87048</v>
      </c>
      <c r="P140" s="12" t="n">
        <v>58.5</v>
      </c>
      <c r="Q140" s="12" t="n">
        <v>39</v>
      </c>
    </row>
    <row r="141">
      <c r="A141" s="11" t="n">
        <v>45760</v>
      </c>
      <c r="B141" s="20" t="inlineStr">
        <is>
          <t>Westfilial AG</t>
        </is>
      </c>
      <c r="C141" s="20" t="inlineStr">
        <is>
          <t>DE-West</t>
        </is>
      </c>
      <c r="D141" s="20" t="inlineStr">
        <is>
          <t>Non-Food</t>
        </is>
      </c>
      <c r="E141" s="12" t="n">
        <v>15384</v>
      </c>
      <c r="F141" s="12" t="n">
        <v>192300</v>
      </c>
      <c r="G141" s="12" t="n">
        <v>102.56</v>
      </c>
      <c r="H141" s="12" t="n">
        <v>64.09999999999999</v>
      </c>
      <c r="J141" s="11" t="n">
        <v>46121</v>
      </c>
      <c r="K141" s="20" t="inlineStr">
        <is>
          <t>Alpenmarkt GmbH</t>
        </is>
      </c>
      <c r="L141" s="20" t="inlineStr">
        <is>
          <t>DE-Sued</t>
        </is>
      </c>
      <c r="M141" s="20" t="inlineStr">
        <is>
          <t>Kuehlware</t>
        </is>
      </c>
      <c r="N141" s="12" t="n">
        <v>46992</v>
      </c>
      <c r="O141" s="12" t="n">
        <v>159772.8</v>
      </c>
      <c r="P141" s="12" t="n">
        <v>127.27</v>
      </c>
      <c r="Q141" s="12" t="n">
        <v>97.90000000000001</v>
      </c>
    </row>
    <row r="142">
      <c r="A142" s="11" t="n">
        <v>45760</v>
      </c>
      <c r="B142" s="20" t="inlineStr">
        <is>
          <t>Randstad Retail BV</t>
        </is>
      </c>
      <c r="C142" s="20" t="inlineStr">
        <is>
          <t>NL</t>
        </is>
      </c>
      <c r="D142" s="20" t="inlineStr">
        <is>
          <t>Trockensortiment</t>
        </is>
      </c>
      <c r="E142" s="12" t="n">
        <v>43560</v>
      </c>
      <c r="F142" s="12" t="n">
        <v>80586</v>
      </c>
      <c r="G142" s="12" t="n">
        <v>87.72</v>
      </c>
      <c r="H142" s="12" t="n">
        <v>60.5</v>
      </c>
      <c r="J142" s="11" t="n">
        <v>46123</v>
      </c>
      <c r="K142" s="20" t="inlineStr">
        <is>
          <t>Delta Foods BV</t>
        </is>
      </c>
      <c r="L142" s="20" t="inlineStr">
        <is>
          <t>NL</t>
        </is>
      </c>
      <c r="M142" s="20" t="inlineStr">
        <is>
          <t>Trockensortiment</t>
        </is>
      </c>
      <c r="N142" s="12" t="n">
        <v>55368</v>
      </c>
      <c r="O142" s="12" t="n">
        <v>102430.8</v>
      </c>
      <c r="P142" s="12" t="n">
        <v>111.51</v>
      </c>
      <c r="Q142" s="12" t="n">
        <v>76.90000000000001</v>
      </c>
    </row>
    <row r="143">
      <c r="A143" s="11" t="n">
        <v>45761</v>
      </c>
      <c r="B143" s="20" t="inlineStr">
        <is>
          <t>Mainpunkt Handel</t>
        </is>
      </c>
      <c r="C143" s="20" t="inlineStr">
        <is>
          <t>DE-Mitte</t>
        </is>
      </c>
      <c r="D143" s="20" t="inlineStr">
        <is>
          <t>Trockensortiment</t>
        </is>
      </c>
      <c r="E143" s="12" t="n">
        <v>95256</v>
      </c>
      <c r="F143" s="12" t="n">
        <v>176223.6</v>
      </c>
      <c r="G143" s="12" t="n">
        <v>191.84</v>
      </c>
      <c r="H143" s="12" t="n">
        <v>132.3</v>
      </c>
      <c r="J143" s="11" t="n">
        <v>46124</v>
      </c>
      <c r="K143" s="20" t="inlineStr">
        <is>
          <t>Tirol Handel AG</t>
        </is>
      </c>
      <c r="L143" s="20" t="inlineStr">
        <is>
          <t>AT</t>
        </is>
      </c>
      <c r="M143" s="20" t="inlineStr">
        <is>
          <t>Getraenke</t>
        </is>
      </c>
      <c r="N143" s="12" t="n">
        <v>76704</v>
      </c>
      <c r="O143" s="12" t="n">
        <v>72868.8</v>
      </c>
      <c r="P143" s="12" t="n">
        <v>123.85</v>
      </c>
      <c r="Q143" s="12" t="n">
        <v>79.90000000000001</v>
      </c>
    </row>
    <row r="144">
      <c r="A144" s="11" t="n">
        <v>45761</v>
      </c>
      <c r="B144" s="20" t="inlineStr">
        <is>
          <t>Wisla Retail Sp.</t>
        </is>
      </c>
      <c r="C144" s="20" t="inlineStr">
        <is>
          <t>PL</t>
        </is>
      </c>
      <c r="D144" s="20" t="inlineStr">
        <is>
          <t>Aktionsware</t>
        </is>
      </c>
      <c r="E144" s="12" t="n">
        <v>13464</v>
      </c>
      <c r="F144" s="12" t="n">
        <v>83476.8</v>
      </c>
      <c r="G144" s="12" t="n">
        <v>56.1</v>
      </c>
      <c r="H144" s="12" t="n">
        <v>37.4</v>
      </c>
      <c r="J144" s="11" t="n">
        <v>46125</v>
      </c>
      <c r="K144" s="20" t="inlineStr">
        <is>
          <t>Spree Markt AG</t>
        </is>
      </c>
      <c r="L144" s="20" t="inlineStr">
        <is>
          <t>DE-Ost</t>
        </is>
      </c>
      <c r="M144" s="20" t="inlineStr">
        <is>
          <t>Non-Food</t>
        </is>
      </c>
      <c r="N144" s="12" t="n">
        <v>6744</v>
      </c>
      <c r="O144" s="12" t="n">
        <v>84300</v>
      </c>
      <c r="P144" s="12" t="n">
        <v>44.96</v>
      </c>
      <c r="Q144" s="12" t="n">
        <v>28.1</v>
      </c>
    </row>
    <row r="145">
      <c r="A145" s="11" t="n">
        <v>45762</v>
      </c>
      <c r="B145" s="20" t="inlineStr">
        <is>
          <t>Austria Markt GmbH</t>
        </is>
      </c>
      <c r="C145" s="20" t="inlineStr">
        <is>
          <t>AT</t>
        </is>
      </c>
      <c r="D145" s="20" t="inlineStr">
        <is>
          <t>Aktionsware</t>
        </is>
      </c>
      <c r="E145" s="12" t="n">
        <v>2736</v>
      </c>
      <c r="F145" s="12" t="n">
        <v>16963.2</v>
      </c>
      <c r="G145" s="12" t="n">
        <v>11.4</v>
      </c>
      <c r="H145" s="12" t="n">
        <v>7.6</v>
      </c>
      <c r="J145" s="11" t="n">
        <v>46125</v>
      </c>
      <c r="K145" s="20" t="inlineStr">
        <is>
          <t>Donau Handel AG</t>
        </is>
      </c>
      <c r="L145" s="20" t="inlineStr">
        <is>
          <t>DE-Sued</t>
        </is>
      </c>
      <c r="M145" s="20" t="inlineStr">
        <is>
          <t>Aktionsware</t>
        </is>
      </c>
      <c r="N145" s="12" t="n">
        <v>9720</v>
      </c>
      <c r="O145" s="12" t="n">
        <v>60264</v>
      </c>
      <c r="P145" s="12" t="n">
        <v>40.5</v>
      </c>
      <c r="Q145" s="12" t="n">
        <v>27</v>
      </c>
    </row>
    <row r="146">
      <c r="A146" s="11" t="n">
        <v>45762</v>
      </c>
      <c r="B146" s="20" t="inlineStr">
        <is>
          <t>Spree Markt AG</t>
        </is>
      </c>
      <c r="C146" s="20" t="inlineStr">
        <is>
          <t>DE-Ost</t>
        </is>
      </c>
      <c r="D146" s="20" t="inlineStr">
        <is>
          <t>Kuehlware</t>
        </is>
      </c>
      <c r="E146" s="12" t="n">
        <v>29856</v>
      </c>
      <c r="F146" s="12" t="n">
        <v>101510.4</v>
      </c>
      <c r="G146" s="12" t="n">
        <v>80.86</v>
      </c>
      <c r="H146" s="12" t="n">
        <v>62.2</v>
      </c>
      <c r="J146" s="11" t="n">
        <v>46127</v>
      </c>
      <c r="K146" s="20" t="inlineStr">
        <is>
          <t>Mainpunkt Handel</t>
        </is>
      </c>
      <c r="L146" s="20" t="inlineStr">
        <is>
          <t>DE-Mitte</t>
        </is>
      </c>
      <c r="M146" s="20" t="inlineStr">
        <is>
          <t>Trockensortiment</t>
        </is>
      </c>
      <c r="N146" s="12" t="n">
        <v>97056</v>
      </c>
      <c r="O146" s="12" t="n">
        <v>179553.6</v>
      </c>
      <c r="P146" s="12" t="n">
        <v>195.46</v>
      </c>
      <c r="Q146" s="12" t="n">
        <v>134.8</v>
      </c>
    </row>
    <row r="147">
      <c r="A147" s="11" t="n">
        <v>45763</v>
      </c>
      <c r="B147" s="20" t="inlineStr">
        <is>
          <t>Tirol Handel AG</t>
        </is>
      </c>
      <c r="C147" s="20" t="inlineStr">
        <is>
          <t>AT</t>
        </is>
      </c>
      <c r="D147" s="20" t="inlineStr">
        <is>
          <t>Non-Food</t>
        </is>
      </c>
      <c r="E147" s="12" t="n">
        <v>5160</v>
      </c>
      <c r="F147" s="12" t="n">
        <v>64500</v>
      </c>
      <c r="G147" s="12" t="n">
        <v>34.4</v>
      </c>
      <c r="H147" s="12" t="n">
        <v>21.5</v>
      </c>
      <c r="J147" s="11" t="n">
        <v>46128</v>
      </c>
      <c r="K147" s="20" t="inlineStr">
        <is>
          <t>Mainpunkt Handel</t>
        </is>
      </c>
      <c r="L147" s="20" t="inlineStr">
        <is>
          <t>DE-Mitte</t>
        </is>
      </c>
      <c r="M147" s="20" t="inlineStr">
        <is>
          <t>Getraenke</t>
        </is>
      </c>
      <c r="N147" s="12" t="n">
        <v>168672</v>
      </c>
      <c r="O147" s="12" t="n">
        <v>160238.4</v>
      </c>
      <c r="P147" s="12" t="n">
        <v>272.33</v>
      </c>
      <c r="Q147" s="12" t="n">
        <v>175.7</v>
      </c>
    </row>
    <row r="148">
      <c r="A148" s="11" t="n">
        <v>45763</v>
      </c>
      <c r="B148" s="20" t="inlineStr">
        <is>
          <t>Elbe Handel GmbH</t>
        </is>
      </c>
      <c r="C148" s="20" t="inlineStr">
        <is>
          <t>DE-Nord</t>
        </is>
      </c>
      <c r="D148" s="20" t="inlineStr">
        <is>
          <t>Getraenke</t>
        </is>
      </c>
      <c r="E148" s="12" t="n">
        <v>181536</v>
      </c>
      <c r="F148" s="12" t="n">
        <v>172459.2</v>
      </c>
      <c r="G148" s="12" t="n">
        <v>293.11</v>
      </c>
      <c r="H148" s="12" t="n">
        <v>189.1</v>
      </c>
      <c r="J148" s="11" t="n">
        <v>46128</v>
      </c>
      <c r="K148" s="20" t="inlineStr">
        <is>
          <t>Mainpunkt Handel</t>
        </is>
      </c>
      <c r="L148" s="20" t="inlineStr">
        <is>
          <t>DE-Mitte</t>
        </is>
      </c>
      <c r="M148" s="20" t="inlineStr">
        <is>
          <t>Non-Food</t>
        </is>
      </c>
      <c r="N148" s="12" t="n">
        <v>10368</v>
      </c>
      <c r="O148" s="12" t="n">
        <v>129600</v>
      </c>
      <c r="P148" s="12" t="n">
        <v>69.12</v>
      </c>
      <c r="Q148" s="12" t="n">
        <v>43.2</v>
      </c>
    </row>
    <row r="149">
      <c r="A149" s="11" t="n">
        <v>45764</v>
      </c>
      <c r="B149" s="20" t="inlineStr">
        <is>
          <t>Delta Foods BV</t>
        </is>
      </c>
      <c r="C149" s="20" t="inlineStr">
        <is>
          <t>NL</t>
        </is>
      </c>
      <c r="D149" s="20" t="inlineStr">
        <is>
          <t>Getraenke</t>
        </is>
      </c>
      <c r="E149" s="12" t="n">
        <v>64128</v>
      </c>
      <c r="F149" s="12" t="n">
        <v>60921.6</v>
      </c>
      <c r="G149" s="12" t="n">
        <v>103.54</v>
      </c>
      <c r="H149" s="12" t="n">
        <v>66.8</v>
      </c>
      <c r="J149" s="11" t="n">
        <v>46128</v>
      </c>
      <c r="K149" s="20" t="inlineStr">
        <is>
          <t>Randstad Retail BV</t>
        </is>
      </c>
      <c r="L149" s="20" t="inlineStr">
        <is>
          <t>NL</t>
        </is>
      </c>
      <c r="M149" s="20" t="inlineStr">
        <is>
          <t>Getraenke</t>
        </is>
      </c>
      <c r="N149" s="12" t="n">
        <v>59616</v>
      </c>
      <c r="O149" s="12" t="n">
        <v>56635.2</v>
      </c>
      <c r="P149" s="12" t="n">
        <v>96.26000000000001</v>
      </c>
      <c r="Q149" s="12" t="n">
        <v>62.1</v>
      </c>
    </row>
    <row r="150">
      <c r="A150" s="11" t="n">
        <v>45765</v>
      </c>
      <c r="B150" s="20" t="inlineStr">
        <is>
          <t>Hessen Vertrieb GmbH</t>
        </is>
      </c>
      <c r="C150" s="20" t="inlineStr">
        <is>
          <t>DE-Mitte</t>
        </is>
      </c>
      <c r="D150" s="20" t="inlineStr">
        <is>
          <t>Getraenke</t>
        </is>
      </c>
      <c r="E150" s="12" t="n">
        <v>167328</v>
      </c>
      <c r="F150" s="12" t="n">
        <v>158961.6</v>
      </c>
      <c r="G150" s="12" t="n">
        <v>270.17</v>
      </c>
      <c r="H150" s="12" t="n">
        <v>174.3</v>
      </c>
      <c r="J150" s="11" t="n">
        <v>46129</v>
      </c>
      <c r="K150" s="20" t="inlineStr">
        <is>
          <t>Nordmarkt AG</t>
        </is>
      </c>
      <c r="L150" s="20" t="inlineStr">
        <is>
          <t>DE-Nord</t>
        </is>
      </c>
      <c r="M150" s="20" t="inlineStr">
        <is>
          <t>Non-Food</t>
        </is>
      </c>
      <c r="N150" s="12" t="n">
        <v>11208</v>
      </c>
      <c r="O150" s="12" t="n">
        <v>140100</v>
      </c>
      <c r="P150" s="12" t="n">
        <v>74.72</v>
      </c>
      <c r="Q150" s="12" t="n">
        <v>46.7</v>
      </c>
    </row>
    <row r="151">
      <c r="A151" s="11" t="n">
        <v>45765</v>
      </c>
      <c r="B151" s="20" t="inlineStr">
        <is>
          <t>Randstad Retail BV</t>
        </is>
      </c>
      <c r="C151" s="20" t="inlineStr">
        <is>
          <t>NL</t>
        </is>
      </c>
      <c r="D151" s="20" t="inlineStr">
        <is>
          <t>Aktionsware</t>
        </is>
      </c>
      <c r="E151" s="12" t="n">
        <v>3852</v>
      </c>
      <c r="F151" s="12" t="n">
        <v>23882.4</v>
      </c>
      <c r="G151" s="12" t="n">
        <v>16.05</v>
      </c>
      <c r="H151" s="12" t="n">
        <v>10.7</v>
      </c>
      <c r="J151" s="11" t="n">
        <v>46130</v>
      </c>
      <c r="K151" s="20" t="inlineStr">
        <is>
          <t>Austria Markt GmbH</t>
        </is>
      </c>
      <c r="L151" s="20" t="inlineStr">
        <is>
          <t>AT</t>
        </is>
      </c>
      <c r="M151" s="20" t="inlineStr">
        <is>
          <t>Aktionsware</t>
        </is>
      </c>
      <c r="N151" s="12" t="n">
        <v>3024</v>
      </c>
      <c r="O151" s="12" t="n">
        <v>18748.8</v>
      </c>
      <c r="P151" s="12" t="n">
        <v>12.6</v>
      </c>
      <c r="Q151" s="12" t="n">
        <v>8.4</v>
      </c>
    </row>
    <row r="152">
      <c r="A152" s="11" t="n">
        <v>45768</v>
      </c>
      <c r="B152" s="20" t="inlineStr">
        <is>
          <t>Alpenmarkt GmbH</t>
        </is>
      </c>
      <c r="C152" s="20" t="inlineStr">
        <is>
          <t>DE-Sued</t>
        </is>
      </c>
      <c r="D152" s="20" t="inlineStr">
        <is>
          <t>Aktionsware</t>
        </is>
      </c>
      <c r="E152" s="12" t="n">
        <v>9360</v>
      </c>
      <c r="F152" s="12" t="n">
        <v>58032</v>
      </c>
      <c r="G152" s="12" t="n">
        <v>39</v>
      </c>
      <c r="H152" s="12" t="n">
        <v>26</v>
      </c>
      <c r="J152" s="11" t="n">
        <v>46131</v>
      </c>
      <c r="K152" s="20" t="inlineStr">
        <is>
          <t>Sued Filialen KG</t>
        </is>
      </c>
      <c r="L152" s="20" t="inlineStr">
        <is>
          <t>DE-Sued</t>
        </is>
      </c>
      <c r="M152" s="20" t="inlineStr">
        <is>
          <t>Getraenke</t>
        </is>
      </c>
      <c r="N152" s="12" t="n">
        <v>296448</v>
      </c>
      <c r="O152" s="12" t="n">
        <v>281625.6</v>
      </c>
      <c r="P152" s="12" t="n">
        <v>478.64</v>
      </c>
      <c r="Q152" s="12" t="n">
        <v>308.8</v>
      </c>
    </row>
    <row r="153">
      <c r="A153" s="11" t="n">
        <v>45768</v>
      </c>
      <c r="B153" s="20" t="inlineStr">
        <is>
          <t>Donau Handel AG</t>
        </is>
      </c>
      <c r="C153" s="20" t="inlineStr">
        <is>
          <t>DE-Sued</t>
        </is>
      </c>
      <c r="D153" s="20" t="inlineStr">
        <is>
          <t>Kuehlware</t>
        </is>
      </c>
      <c r="E153" s="12" t="n">
        <v>46320</v>
      </c>
      <c r="F153" s="12" t="n">
        <v>157488</v>
      </c>
      <c r="G153" s="12" t="n">
        <v>125.45</v>
      </c>
      <c r="H153" s="12" t="n">
        <v>96.5</v>
      </c>
      <c r="J153" s="11" t="n">
        <v>46133</v>
      </c>
      <c r="K153" s="20" t="inlineStr">
        <is>
          <t>Tirol Handel AG</t>
        </is>
      </c>
      <c r="L153" s="20" t="inlineStr">
        <is>
          <t>AT</t>
        </is>
      </c>
      <c r="M153" s="20" t="inlineStr">
        <is>
          <t>Trockensortiment</t>
        </is>
      </c>
      <c r="N153" s="12" t="n">
        <v>38592</v>
      </c>
      <c r="O153" s="12" t="n">
        <v>71395.2</v>
      </c>
      <c r="P153" s="12" t="n">
        <v>77.72</v>
      </c>
      <c r="Q153" s="12" t="n">
        <v>53.6</v>
      </c>
    </row>
    <row r="154">
      <c r="A154" s="11" t="n">
        <v>45768</v>
      </c>
      <c r="B154" s="20" t="inlineStr">
        <is>
          <t>Westfilial AG</t>
        </is>
      </c>
      <c r="C154" s="20" t="inlineStr">
        <is>
          <t>DE-West</t>
        </is>
      </c>
      <c r="D154" s="20" t="inlineStr">
        <is>
          <t>Kuehlware</t>
        </is>
      </c>
      <c r="E154" s="12" t="n">
        <v>57648</v>
      </c>
      <c r="F154" s="12" t="n">
        <v>196003.2</v>
      </c>
      <c r="G154" s="12" t="n">
        <v>156.13</v>
      </c>
      <c r="H154" s="12" t="n">
        <v>120.1</v>
      </c>
      <c r="J154" s="11" t="n">
        <v>46133</v>
      </c>
      <c r="K154" s="20" t="inlineStr">
        <is>
          <t>Hessen Vertrieb GmbH</t>
        </is>
      </c>
      <c r="L154" s="20" t="inlineStr">
        <is>
          <t>DE-Mitte</t>
        </is>
      </c>
      <c r="M154" s="20" t="inlineStr">
        <is>
          <t>Aktionsware</t>
        </is>
      </c>
      <c r="N154" s="12" t="n">
        <v>7128</v>
      </c>
      <c r="O154" s="12" t="n">
        <v>44193.6</v>
      </c>
      <c r="P154" s="12" t="n">
        <v>29.7</v>
      </c>
      <c r="Q154" s="12" t="n">
        <v>19.8</v>
      </c>
    </row>
    <row r="155">
      <c r="A155" s="11" t="n">
        <v>45770</v>
      </c>
      <c r="B155" s="20" t="inlineStr">
        <is>
          <t>Mainpunkt Handel</t>
        </is>
      </c>
      <c r="C155" s="20" t="inlineStr">
        <is>
          <t>DE-Mitte</t>
        </is>
      </c>
      <c r="D155" s="20" t="inlineStr">
        <is>
          <t>Aktionsware</t>
        </is>
      </c>
      <c r="E155" s="12" t="n">
        <v>7560</v>
      </c>
      <c r="F155" s="12" t="n">
        <v>46872</v>
      </c>
      <c r="G155" s="12" t="n">
        <v>31.5</v>
      </c>
      <c r="H155" s="12" t="n">
        <v>21</v>
      </c>
      <c r="J155" s="11" t="n">
        <v>46133</v>
      </c>
      <c r="K155" s="20" t="inlineStr">
        <is>
          <t>Rheinland Retail SE</t>
        </is>
      </c>
      <c r="L155" s="20" t="inlineStr">
        <is>
          <t>DE-West</t>
        </is>
      </c>
      <c r="M155" s="20" t="inlineStr">
        <is>
          <t>Non-Food</t>
        </is>
      </c>
      <c r="N155" s="12" t="n">
        <v>15720</v>
      </c>
      <c r="O155" s="12" t="n">
        <v>196500</v>
      </c>
      <c r="P155" s="12" t="n">
        <v>104.8</v>
      </c>
      <c r="Q155" s="12" t="n">
        <v>65.5</v>
      </c>
    </row>
    <row r="156">
      <c r="A156" s="11" t="n">
        <v>45770</v>
      </c>
      <c r="B156" s="20" t="inlineStr">
        <is>
          <t>Kuestenlager KG</t>
        </is>
      </c>
      <c r="C156" s="20" t="inlineStr">
        <is>
          <t>DE-Nord</t>
        </is>
      </c>
      <c r="D156" s="20" t="inlineStr">
        <is>
          <t>Kuehlware</t>
        </is>
      </c>
      <c r="E156" s="12" t="n">
        <v>65568</v>
      </c>
      <c r="F156" s="12" t="n">
        <v>222931.2</v>
      </c>
      <c r="G156" s="12" t="n">
        <v>177.58</v>
      </c>
      <c r="H156" s="12" t="n">
        <v>136.6</v>
      </c>
      <c r="J156" s="11" t="n">
        <v>46134</v>
      </c>
      <c r="K156" s="20" t="inlineStr">
        <is>
          <t>Spree Markt AG</t>
        </is>
      </c>
      <c r="L156" s="20" t="inlineStr">
        <is>
          <t>DE-Ost</t>
        </is>
      </c>
      <c r="M156" s="20" t="inlineStr">
        <is>
          <t>Kuehlware</t>
        </is>
      </c>
      <c r="N156" s="12" t="n">
        <v>34080</v>
      </c>
      <c r="O156" s="12" t="n">
        <v>115872</v>
      </c>
      <c r="P156" s="12" t="n">
        <v>92.3</v>
      </c>
      <c r="Q156" s="12" t="n">
        <v>71</v>
      </c>
    </row>
    <row r="157">
      <c r="A157" s="11" t="n">
        <v>45770</v>
      </c>
      <c r="B157" s="20" t="inlineStr">
        <is>
          <t>Nordmarkt AG</t>
        </is>
      </c>
      <c r="C157" s="20" t="inlineStr">
        <is>
          <t>DE-Nord</t>
        </is>
      </c>
      <c r="D157" s="20" t="inlineStr">
        <is>
          <t>Trockensortiment</t>
        </is>
      </c>
      <c r="E157" s="12" t="n">
        <v>130824</v>
      </c>
      <c r="F157" s="12" t="n">
        <v>242024.4</v>
      </c>
      <c r="G157" s="12" t="n">
        <v>263.46</v>
      </c>
      <c r="H157" s="12" t="n">
        <v>181.7</v>
      </c>
      <c r="J157" s="11" t="n">
        <v>46134</v>
      </c>
      <c r="K157" s="20" t="inlineStr">
        <is>
          <t>Alpenmarkt GmbH</t>
        </is>
      </c>
      <c r="L157" s="20" t="inlineStr">
        <is>
          <t>DE-Sued</t>
        </is>
      </c>
      <c r="M157" s="20" t="inlineStr">
        <is>
          <t>Non-Food</t>
        </is>
      </c>
      <c r="N157" s="12" t="n">
        <v>14448</v>
      </c>
      <c r="O157" s="12" t="n">
        <v>180600</v>
      </c>
      <c r="P157" s="12" t="n">
        <v>96.31999999999999</v>
      </c>
      <c r="Q157" s="12" t="n">
        <v>60.2</v>
      </c>
    </row>
    <row r="158">
      <c r="A158" s="11" t="n">
        <v>45770</v>
      </c>
      <c r="B158" s="20" t="inlineStr">
        <is>
          <t>Sachsen Handel GmbH</t>
        </is>
      </c>
      <c r="C158" s="20" t="inlineStr">
        <is>
          <t>DE-Ost</t>
        </is>
      </c>
      <c r="D158" s="20" t="inlineStr">
        <is>
          <t>Getraenke</t>
        </is>
      </c>
      <c r="E158" s="12" t="n">
        <v>157536</v>
      </c>
      <c r="F158" s="12" t="n">
        <v>149659.2</v>
      </c>
      <c r="G158" s="12" t="n">
        <v>254.35</v>
      </c>
      <c r="H158" s="12" t="n">
        <v>164.1</v>
      </c>
      <c r="J158" s="11" t="n">
        <v>46134</v>
      </c>
      <c r="K158" s="20" t="inlineStr">
        <is>
          <t>Westfilial AG</t>
        </is>
      </c>
      <c r="L158" s="20" t="inlineStr">
        <is>
          <t>DE-West</t>
        </is>
      </c>
      <c r="M158" s="20" t="inlineStr">
        <is>
          <t>Getraenke</t>
        </is>
      </c>
      <c r="N158" s="12" t="n">
        <v>264480</v>
      </c>
      <c r="O158" s="12" t="n">
        <v>251256</v>
      </c>
      <c r="P158" s="12" t="n">
        <v>427.03</v>
      </c>
      <c r="Q158" s="12" t="n">
        <v>275.5</v>
      </c>
    </row>
    <row r="159">
      <c r="A159" s="11" t="n">
        <v>45770</v>
      </c>
      <c r="B159" s="20" t="inlineStr">
        <is>
          <t>Spree Markt AG</t>
        </is>
      </c>
      <c r="C159" s="20" t="inlineStr">
        <is>
          <t>DE-Ost</t>
        </is>
      </c>
      <c r="D159" s="20" t="inlineStr">
        <is>
          <t>Non-Food</t>
        </is>
      </c>
      <c r="E159" s="12" t="n">
        <v>7344</v>
      </c>
      <c r="F159" s="12" t="n">
        <v>91800</v>
      </c>
      <c r="G159" s="12" t="n">
        <v>48.96</v>
      </c>
      <c r="H159" s="12" t="n">
        <v>30.6</v>
      </c>
      <c r="J159" s="11" t="n">
        <v>46136</v>
      </c>
      <c r="K159" s="20" t="inlineStr">
        <is>
          <t>Randstad Retail BV</t>
        </is>
      </c>
      <c r="L159" s="20" t="inlineStr">
        <is>
          <t>NL</t>
        </is>
      </c>
      <c r="M159" s="20" t="inlineStr">
        <is>
          <t>Aktionsware</t>
        </is>
      </c>
      <c r="N159" s="12" t="n">
        <v>4176</v>
      </c>
      <c r="O159" s="12" t="n">
        <v>25891.2</v>
      </c>
      <c r="P159" s="12" t="n">
        <v>17.4</v>
      </c>
      <c r="Q159" s="12" t="n">
        <v>11.6</v>
      </c>
    </row>
    <row r="160">
      <c r="A160" s="11" t="n">
        <v>45770</v>
      </c>
      <c r="B160" s="20" t="inlineStr">
        <is>
          <t>Alpenmarkt GmbH</t>
        </is>
      </c>
      <c r="C160" s="20" t="inlineStr">
        <is>
          <t>DE-Sued</t>
        </is>
      </c>
      <c r="D160" s="20" t="inlineStr">
        <is>
          <t>Non-Food</t>
        </is>
      </c>
      <c r="E160" s="12" t="n">
        <v>14280</v>
      </c>
      <c r="F160" s="12" t="n">
        <v>178500</v>
      </c>
      <c r="G160" s="12" t="n">
        <v>95.2</v>
      </c>
      <c r="H160" s="12" t="n">
        <v>59.5</v>
      </c>
      <c r="J160" s="11" t="n">
        <v>46137</v>
      </c>
      <c r="K160" s="20" t="inlineStr">
        <is>
          <t>Nordmarkt AG</t>
        </is>
      </c>
      <c r="L160" s="20" t="inlineStr">
        <is>
          <t>DE-Nord</t>
        </is>
      </c>
      <c r="M160" s="20" t="inlineStr">
        <is>
          <t>Aktionsware</t>
        </is>
      </c>
      <c r="N160" s="12" t="n">
        <v>7236</v>
      </c>
      <c r="O160" s="12" t="n">
        <v>44863.2</v>
      </c>
      <c r="P160" s="12" t="n">
        <v>30.15</v>
      </c>
      <c r="Q160" s="12" t="n">
        <v>20.1</v>
      </c>
    </row>
    <row r="161">
      <c r="A161" s="11" t="n">
        <v>45771</v>
      </c>
      <c r="B161" s="20" t="inlineStr">
        <is>
          <t>Sachsen Handel GmbH</t>
        </is>
      </c>
      <c r="C161" s="20" t="inlineStr">
        <is>
          <t>DE-Ost</t>
        </is>
      </c>
      <c r="D161" s="20" t="inlineStr">
        <is>
          <t>Aktionsware</t>
        </is>
      </c>
      <c r="E161" s="12" t="n">
        <v>5976</v>
      </c>
      <c r="F161" s="12" t="n">
        <v>37051.2</v>
      </c>
      <c r="G161" s="12" t="n">
        <v>24.9</v>
      </c>
      <c r="H161" s="12" t="n">
        <v>16.6</v>
      </c>
      <c r="J161" s="11" t="n">
        <v>46137</v>
      </c>
      <c r="K161" s="20" t="inlineStr">
        <is>
          <t>Elbe Handel GmbH</t>
        </is>
      </c>
      <c r="L161" s="20" t="inlineStr">
        <is>
          <t>DE-Nord</t>
        </is>
      </c>
      <c r="M161" s="20" t="inlineStr">
        <is>
          <t>Getraenke</t>
        </is>
      </c>
      <c r="N161" s="12" t="n">
        <v>186048</v>
      </c>
      <c r="O161" s="12" t="n">
        <v>176745.6</v>
      </c>
      <c r="P161" s="12" t="n">
        <v>300.39</v>
      </c>
      <c r="Q161" s="12" t="n">
        <v>193.8</v>
      </c>
    </row>
    <row r="162">
      <c r="A162" s="11" t="n">
        <v>45771</v>
      </c>
      <c r="B162" s="20" t="inlineStr">
        <is>
          <t>Donau Handel AG</t>
        </is>
      </c>
      <c r="C162" s="20" t="inlineStr">
        <is>
          <t>DE-Sued</t>
        </is>
      </c>
      <c r="D162" s="20" t="inlineStr">
        <is>
          <t>Trockensortiment</t>
        </is>
      </c>
      <c r="E162" s="12" t="n">
        <v>141192</v>
      </c>
      <c r="F162" s="12" t="n">
        <v>261205.2</v>
      </c>
      <c r="G162" s="12" t="n">
        <v>284.34</v>
      </c>
      <c r="H162" s="12" t="n">
        <v>196.1</v>
      </c>
      <c r="J162" s="11" t="n">
        <v>46137</v>
      </c>
      <c r="K162" s="20" t="inlineStr">
        <is>
          <t>Sued Filialen KG</t>
        </is>
      </c>
      <c r="L162" s="20" t="inlineStr">
        <is>
          <t>DE-Sued</t>
        </is>
      </c>
      <c r="M162" s="20" t="inlineStr">
        <is>
          <t>Trockensortiment</t>
        </is>
      </c>
      <c r="N162" s="12" t="n">
        <v>153648</v>
      </c>
      <c r="O162" s="12" t="n">
        <v>284248.8</v>
      </c>
      <c r="P162" s="12" t="n">
        <v>309.43</v>
      </c>
      <c r="Q162" s="12" t="n">
        <v>213.4</v>
      </c>
    </row>
    <row r="163">
      <c r="A163" s="11" t="n">
        <v>45772</v>
      </c>
      <c r="B163" s="20" t="inlineStr">
        <is>
          <t>Austria Markt GmbH</t>
        </is>
      </c>
      <c r="C163" s="20" t="inlineStr">
        <is>
          <t>AT</t>
        </is>
      </c>
      <c r="D163" s="20" t="inlineStr">
        <is>
          <t>Kuehlware</t>
        </is>
      </c>
      <c r="E163" s="12" t="n">
        <v>12768</v>
      </c>
      <c r="F163" s="12" t="n">
        <v>43411.2</v>
      </c>
      <c r="G163" s="12" t="n">
        <v>34.58</v>
      </c>
      <c r="H163" s="12" t="n">
        <v>26.6</v>
      </c>
      <c r="J163" s="11" t="n">
        <v>46137</v>
      </c>
      <c r="K163" s="20" t="inlineStr">
        <is>
          <t>Rheinland Retail SE</t>
        </is>
      </c>
      <c r="L163" s="20" t="inlineStr">
        <is>
          <t>DE-West</t>
        </is>
      </c>
      <c r="M163" s="20" t="inlineStr">
        <is>
          <t>Trockensortiment</t>
        </is>
      </c>
      <c r="N163" s="12" t="n">
        <v>195552</v>
      </c>
      <c r="O163" s="12" t="n">
        <v>361771.2</v>
      </c>
      <c r="P163" s="12" t="n">
        <v>393.82</v>
      </c>
      <c r="Q163" s="12" t="n">
        <v>271.6</v>
      </c>
    </row>
    <row r="164">
      <c r="A164" s="11" t="n">
        <v>45772</v>
      </c>
      <c r="B164" s="20" t="inlineStr">
        <is>
          <t>Westfilial AG</t>
        </is>
      </c>
      <c r="C164" s="20" t="inlineStr">
        <is>
          <t>DE-West</t>
        </is>
      </c>
      <c r="D164" s="20" t="inlineStr">
        <is>
          <t>Aktionsware</t>
        </is>
      </c>
      <c r="E164" s="12" t="n">
        <v>11880</v>
      </c>
      <c r="F164" s="12" t="n">
        <v>73656</v>
      </c>
      <c r="G164" s="12" t="n">
        <v>49.5</v>
      </c>
      <c r="H164" s="12" t="n">
        <v>33</v>
      </c>
      <c r="J164" s="11" t="n">
        <v>46137</v>
      </c>
      <c r="K164" s="20" t="inlineStr">
        <is>
          <t>Odra Handel Sp.</t>
        </is>
      </c>
      <c r="L164" s="20" t="inlineStr">
        <is>
          <t>PL</t>
        </is>
      </c>
      <c r="M164" s="20" t="inlineStr">
        <is>
          <t>Getraenke</t>
        </is>
      </c>
      <c r="N164" s="12" t="n">
        <v>52704</v>
      </c>
      <c r="O164" s="12" t="n">
        <v>50068.8</v>
      </c>
      <c r="P164" s="12" t="n">
        <v>85.09</v>
      </c>
      <c r="Q164" s="12" t="n">
        <v>54.9</v>
      </c>
    </row>
    <row r="165">
      <c r="A165" s="11" t="n">
        <v>45772</v>
      </c>
      <c r="B165" s="20" t="inlineStr">
        <is>
          <t>Westfilial AG</t>
        </is>
      </c>
      <c r="C165" s="20" t="inlineStr">
        <is>
          <t>DE-West</t>
        </is>
      </c>
      <c r="D165" s="20" t="inlineStr">
        <is>
          <t>Trockensortiment</t>
        </is>
      </c>
      <c r="E165" s="12" t="n">
        <v>166320</v>
      </c>
      <c r="F165" s="12" t="n">
        <v>307692</v>
      </c>
      <c r="G165" s="12" t="n">
        <v>334.95</v>
      </c>
      <c r="H165" s="12" t="n">
        <v>231</v>
      </c>
      <c r="J165" s="11" t="n">
        <v>46137</v>
      </c>
      <c r="K165" s="20" t="inlineStr">
        <is>
          <t>Odra Handel Sp.</t>
        </is>
      </c>
      <c r="L165" s="20" t="inlineStr">
        <is>
          <t>PL</t>
        </is>
      </c>
      <c r="M165" s="20" t="inlineStr">
        <is>
          <t>Trockensortiment</t>
        </is>
      </c>
      <c r="N165" s="12" t="n">
        <v>27864</v>
      </c>
      <c r="O165" s="12" t="n">
        <v>51548.4</v>
      </c>
      <c r="P165" s="12" t="n">
        <v>56.12</v>
      </c>
      <c r="Q165" s="12" t="n">
        <v>38.7</v>
      </c>
    </row>
    <row r="166">
      <c r="A166" s="11" t="n">
        <v>45778</v>
      </c>
      <c r="B166" s="20" t="inlineStr">
        <is>
          <t>Westfilial AG</t>
        </is>
      </c>
      <c r="C166" s="20" t="inlineStr">
        <is>
          <t>DE-West</t>
        </is>
      </c>
      <c r="D166" s="20" t="inlineStr">
        <is>
          <t>Getraenke</t>
        </is>
      </c>
      <c r="E166" s="12" t="n">
        <v>266784</v>
      </c>
      <c r="F166" s="12" t="n">
        <v>253444.8</v>
      </c>
      <c r="G166" s="12" t="n">
        <v>430.75</v>
      </c>
      <c r="H166" s="12" t="n">
        <v>277.9</v>
      </c>
      <c r="J166" s="11" t="n">
        <v>46143</v>
      </c>
      <c r="K166" s="20" t="inlineStr">
        <is>
          <t>Hessen Vertrieb GmbH</t>
        </is>
      </c>
      <c r="L166" s="20" t="inlineStr">
        <is>
          <t>DE-Mitte</t>
        </is>
      </c>
      <c r="M166" s="20" t="inlineStr">
        <is>
          <t>Aktionsware</t>
        </is>
      </c>
      <c r="N166" s="12" t="n">
        <v>5652</v>
      </c>
      <c r="O166" s="12" t="n">
        <v>35042.4</v>
      </c>
      <c r="P166" s="12" t="n">
        <v>23.55</v>
      </c>
      <c r="Q166" s="12" t="n">
        <v>15.7</v>
      </c>
    </row>
    <row r="167">
      <c r="A167" s="11" t="n">
        <v>45778</v>
      </c>
      <c r="B167" s="20" t="inlineStr">
        <is>
          <t>Randstad Retail BV</t>
        </is>
      </c>
      <c r="C167" s="20" t="inlineStr">
        <is>
          <t>NL</t>
        </is>
      </c>
      <c r="D167" s="20" t="inlineStr">
        <is>
          <t>Kuehlware</t>
        </is>
      </c>
      <c r="E167" s="12" t="n">
        <v>25632</v>
      </c>
      <c r="F167" s="12" t="n">
        <v>87148.8</v>
      </c>
      <c r="G167" s="12" t="n">
        <v>69.42</v>
      </c>
      <c r="H167" s="12" t="n">
        <v>53.4</v>
      </c>
      <c r="J167" s="11" t="n">
        <v>46143</v>
      </c>
      <c r="K167" s="20" t="inlineStr">
        <is>
          <t>Randstad Retail BV</t>
        </is>
      </c>
      <c r="L167" s="20" t="inlineStr">
        <is>
          <t>NL</t>
        </is>
      </c>
      <c r="M167" s="20" t="inlineStr">
        <is>
          <t>Trockensortiment</t>
        </is>
      </c>
      <c r="N167" s="12" t="n">
        <v>55512</v>
      </c>
      <c r="O167" s="12" t="n">
        <v>102697.2</v>
      </c>
      <c r="P167" s="12" t="n">
        <v>111.79</v>
      </c>
      <c r="Q167" s="12" t="n">
        <v>77.09999999999999</v>
      </c>
    </row>
    <row r="168">
      <c r="A168" s="11" t="n">
        <v>45779</v>
      </c>
      <c r="B168" s="20" t="inlineStr">
        <is>
          <t>Hessen Vertrieb GmbH</t>
        </is>
      </c>
      <c r="C168" s="20" t="inlineStr">
        <is>
          <t>DE-Mitte</t>
        </is>
      </c>
      <c r="D168" s="20" t="inlineStr">
        <is>
          <t>Getraenke</t>
        </is>
      </c>
      <c r="E168" s="12" t="n">
        <v>181344</v>
      </c>
      <c r="F168" s="12" t="n">
        <v>172276.8</v>
      </c>
      <c r="G168" s="12" t="n">
        <v>292.8</v>
      </c>
      <c r="H168" s="12" t="n">
        <v>188.9</v>
      </c>
      <c r="J168" s="11" t="n">
        <v>46144</v>
      </c>
      <c r="K168" s="20" t="inlineStr">
        <is>
          <t>Spree Markt AG</t>
        </is>
      </c>
      <c r="L168" s="20" t="inlineStr">
        <is>
          <t>DE-Ost</t>
        </is>
      </c>
      <c r="M168" s="20" t="inlineStr">
        <is>
          <t>Non-Food</t>
        </is>
      </c>
      <c r="N168" s="12" t="n">
        <v>7392</v>
      </c>
      <c r="O168" s="12" t="n">
        <v>92400</v>
      </c>
      <c r="P168" s="12" t="n">
        <v>49.28</v>
      </c>
      <c r="Q168" s="12" t="n">
        <v>30.8</v>
      </c>
    </row>
    <row r="169">
      <c r="A169" s="11" t="n">
        <v>45780</v>
      </c>
      <c r="B169" s="20" t="inlineStr">
        <is>
          <t>Nordmarkt AG</t>
        </is>
      </c>
      <c r="C169" s="20" t="inlineStr">
        <is>
          <t>DE-Nord</t>
        </is>
      </c>
      <c r="D169" s="20" t="inlineStr">
        <is>
          <t>Kuehlware</t>
        </is>
      </c>
      <c r="E169" s="12" t="n">
        <v>52320</v>
      </c>
      <c r="F169" s="12" t="n">
        <v>177888</v>
      </c>
      <c r="G169" s="12" t="n">
        <v>141.7</v>
      </c>
      <c r="H169" s="12" t="n">
        <v>109</v>
      </c>
      <c r="J169" s="11" t="n">
        <v>46145</v>
      </c>
      <c r="K169" s="20" t="inlineStr">
        <is>
          <t>Spree Markt AG</t>
        </is>
      </c>
      <c r="L169" s="20" t="inlineStr">
        <is>
          <t>DE-Ost</t>
        </is>
      </c>
      <c r="M169" s="20" t="inlineStr">
        <is>
          <t>Aktionsware</t>
        </is>
      </c>
      <c r="N169" s="12" t="n">
        <v>5148</v>
      </c>
      <c r="O169" s="12" t="n">
        <v>31917.6</v>
      </c>
      <c r="P169" s="12" t="n">
        <v>21.45</v>
      </c>
      <c r="Q169" s="12" t="n">
        <v>14.3</v>
      </c>
    </row>
    <row r="170">
      <c r="A170" s="11" t="n">
        <v>45780</v>
      </c>
      <c r="B170" s="20" t="inlineStr">
        <is>
          <t>Rheinland Retail SE</t>
        </is>
      </c>
      <c r="C170" s="20" t="inlineStr">
        <is>
          <t>DE-West</t>
        </is>
      </c>
      <c r="D170" s="20" t="inlineStr">
        <is>
          <t>Trockensortiment</t>
        </is>
      </c>
      <c r="E170" s="12" t="n">
        <v>176184</v>
      </c>
      <c r="F170" s="12" t="n">
        <v>325940.4</v>
      </c>
      <c r="G170" s="12" t="n">
        <v>354.81</v>
      </c>
      <c r="H170" s="12" t="n">
        <v>244.7</v>
      </c>
      <c r="J170" s="11" t="n">
        <v>46145</v>
      </c>
      <c r="K170" s="20" t="inlineStr">
        <is>
          <t>Odra Handel Sp.</t>
        </is>
      </c>
      <c r="L170" s="20" t="inlineStr">
        <is>
          <t>PL</t>
        </is>
      </c>
      <c r="M170" s="20" t="inlineStr">
        <is>
          <t>Trockensortiment</t>
        </is>
      </c>
      <c r="N170" s="12" t="n">
        <v>30816</v>
      </c>
      <c r="O170" s="12" t="n">
        <v>57009.6</v>
      </c>
      <c r="P170" s="12" t="n">
        <v>62.06</v>
      </c>
      <c r="Q170" s="12" t="n">
        <v>42.8</v>
      </c>
    </row>
    <row r="171">
      <c r="A171" s="11" t="n">
        <v>45780</v>
      </c>
      <c r="B171" s="20" t="inlineStr">
        <is>
          <t>Odra Handel Sp.</t>
        </is>
      </c>
      <c r="C171" s="20" t="inlineStr">
        <is>
          <t>PL</t>
        </is>
      </c>
      <c r="D171" s="20" t="inlineStr">
        <is>
          <t>Non-Food</t>
        </is>
      </c>
      <c r="E171" s="12" t="n">
        <v>11304</v>
      </c>
      <c r="F171" s="12" t="n">
        <v>141300</v>
      </c>
      <c r="G171" s="12" t="n">
        <v>75.36</v>
      </c>
      <c r="H171" s="12" t="n">
        <v>47.1</v>
      </c>
      <c r="J171" s="11" t="n">
        <v>46146</v>
      </c>
      <c r="K171" s="20" t="inlineStr">
        <is>
          <t>Mainpunkt Handel</t>
        </is>
      </c>
      <c r="L171" s="20" t="inlineStr">
        <is>
          <t>DE-Mitte</t>
        </is>
      </c>
      <c r="M171" s="20" t="inlineStr">
        <is>
          <t>Getraenke</t>
        </is>
      </c>
      <c r="N171" s="12" t="n">
        <v>200160</v>
      </c>
      <c r="O171" s="12" t="n">
        <v>190152</v>
      </c>
      <c r="P171" s="12" t="n">
        <v>323.18</v>
      </c>
      <c r="Q171" s="12" t="n">
        <v>208.5</v>
      </c>
    </row>
    <row r="172">
      <c r="A172" s="11" t="n">
        <v>45782</v>
      </c>
      <c r="B172" s="20" t="inlineStr">
        <is>
          <t>Randstad Retail BV</t>
        </is>
      </c>
      <c r="C172" s="20" t="inlineStr">
        <is>
          <t>NL</t>
        </is>
      </c>
      <c r="D172" s="20" t="inlineStr">
        <is>
          <t>Aktionsware</t>
        </is>
      </c>
      <c r="E172" s="12" t="n">
        <v>2772</v>
      </c>
      <c r="F172" s="12" t="n">
        <v>17186.4</v>
      </c>
      <c r="G172" s="12" t="n">
        <v>11.55</v>
      </c>
      <c r="H172" s="12" t="n">
        <v>7.7</v>
      </c>
      <c r="J172" s="11" t="n">
        <v>46146</v>
      </c>
      <c r="K172" s="20" t="inlineStr">
        <is>
          <t>Mainpunkt Handel</t>
        </is>
      </c>
      <c r="L172" s="20" t="inlineStr">
        <is>
          <t>DE-Mitte</t>
        </is>
      </c>
      <c r="M172" s="20" t="inlineStr">
        <is>
          <t>Trockensortiment</t>
        </is>
      </c>
      <c r="N172" s="12" t="n">
        <v>95976</v>
      </c>
      <c r="O172" s="12" t="n">
        <v>177555.6</v>
      </c>
      <c r="P172" s="12" t="n">
        <v>193.28</v>
      </c>
      <c r="Q172" s="12" t="n">
        <v>133.3</v>
      </c>
    </row>
    <row r="173">
      <c r="A173" s="11" t="n">
        <v>45782</v>
      </c>
      <c r="B173" s="20" t="inlineStr">
        <is>
          <t>Delta Foods BV</t>
        </is>
      </c>
      <c r="C173" s="20" t="inlineStr">
        <is>
          <t>NL</t>
        </is>
      </c>
      <c r="D173" s="20" t="inlineStr">
        <is>
          <t>Trockensortiment</t>
        </is>
      </c>
      <c r="E173" s="12" t="n">
        <v>49896</v>
      </c>
      <c r="F173" s="12" t="n">
        <v>92307.60000000001</v>
      </c>
      <c r="G173" s="12" t="n">
        <v>100.48</v>
      </c>
      <c r="H173" s="12" t="n">
        <v>69.3</v>
      </c>
      <c r="J173" s="11" t="n">
        <v>46146</v>
      </c>
      <c r="K173" s="20" t="inlineStr">
        <is>
          <t>Kuestenlager KG</t>
        </is>
      </c>
      <c r="L173" s="20" t="inlineStr">
        <is>
          <t>DE-Nord</t>
        </is>
      </c>
      <c r="M173" s="20" t="inlineStr">
        <is>
          <t>Trockensortiment</t>
        </is>
      </c>
      <c r="N173" s="12" t="n">
        <v>124488</v>
      </c>
      <c r="O173" s="12" t="n">
        <v>230302.8</v>
      </c>
      <c r="P173" s="12" t="n">
        <v>250.71</v>
      </c>
      <c r="Q173" s="12" t="n">
        <v>172.9</v>
      </c>
    </row>
    <row r="174">
      <c r="A174" s="11" t="n">
        <v>45785</v>
      </c>
      <c r="B174" s="20" t="inlineStr">
        <is>
          <t>Delta Foods BV</t>
        </is>
      </c>
      <c r="C174" s="20" t="inlineStr">
        <is>
          <t>NL</t>
        </is>
      </c>
      <c r="D174" s="20" t="inlineStr">
        <is>
          <t>Getraenke</t>
        </is>
      </c>
      <c r="E174" s="12" t="n">
        <v>59712</v>
      </c>
      <c r="F174" s="12" t="n">
        <v>56726.4</v>
      </c>
      <c r="G174" s="12" t="n">
        <v>96.41</v>
      </c>
      <c r="H174" s="12" t="n">
        <v>62.2</v>
      </c>
      <c r="J174" s="11" t="n">
        <v>46146</v>
      </c>
      <c r="K174" s="20" t="inlineStr">
        <is>
          <t>Westfilial AG</t>
        </is>
      </c>
      <c r="L174" s="20" t="inlineStr">
        <is>
          <t>DE-West</t>
        </is>
      </c>
      <c r="M174" s="20" t="inlineStr">
        <is>
          <t>Aktionsware</t>
        </is>
      </c>
      <c r="N174" s="12" t="n">
        <v>9036</v>
      </c>
      <c r="O174" s="12" t="n">
        <v>56023.2</v>
      </c>
      <c r="P174" s="12" t="n">
        <v>37.65</v>
      </c>
      <c r="Q174" s="12" t="n">
        <v>25.1</v>
      </c>
    </row>
    <row r="175">
      <c r="A175" s="11" t="n">
        <v>45786</v>
      </c>
      <c r="B175" s="20" t="inlineStr">
        <is>
          <t>Rheinland Retail SE</t>
        </is>
      </c>
      <c r="C175" s="20" t="inlineStr">
        <is>
          <t>DE-West</t>
        </is>
      </c>
      <c r="D175" s="20" t="inlineStr">
        <is>
          <t>Kuehlware</t>
        </is>
      </c>
      <c r="E175" s="12" t="n">
        <v>55392</v>
      </c>
      <c r="F175" s="12" t="n">
        <v>188332.8</v>
      </c>
      <c r="G175" s="12" t="n">
        <v>150.02</v>
      </c>
      <c r="H175" s="12" t="n">
        <v>115.4</v>
      </c>
      <c r="J175" s="11" t="n">
        <v>46146</v>
      </c>
      <c r="K175" s="20" t="inlineStr">
        <is>
          <t>Wisla Retail Sp.</t>
        </is>
      </c>
      <c r="L175" s="20" t="inlineStr">
        <is>
          <t>PL</t>
        </is>
      </c>
      <c r="M175" s="20" t="inlineStr">
        <is>
          <t>Non-Food</t>
        </is>
      </c>
      <c r="N175" s="12" t="n">
        <v>11952</v>
      </c>
      <c r="O175" s="12" t="n">
        <v>149400</v>
      </c>
      <c r="P175" s="12" t="n">
        <v>79.68000000000001</v>
      </c>
      <c r="Q175" s="12" t="n">
        <v>49.8</v>
      </c>
    </row>
    <row r="176">
      <c r="A176" s="11" t="n">
        <v>45786</v>
      </c>
      <c r="B176" s="20" t="inlineStr">
        <is>
          <t>Odra Handel Sp.</t>
        </is>
      </c>
      <c r="C176" s="20" t="inlineStr">
        <is>
          <t>PL</t>
        </is>
      </c>
      <c r="D176" s="20" t="inlineStr">
        <is>
          <t>Aktionsware</t>
        </is>
      </c>
      <c r="E176" s="12" t="n">
        <v>9972</v>
      </c>
      <c r="F176" s="12" t="n">
        <v>61826.4</v>
      </c>
      <c r="G176" s="12" t="n">
        <v>41.55</v>
      </c>
      <c r="H176" s="12" t="n">
        <v>27.7</v>
      </c>
      <c r="J176" s="11" t="n">
        <v>46147</v>
      </c>
      <c r="K176" s="20" t="inlineStr">
        <is>
          <t>Sachsen Handel GmbH</t>
        </is>
      </c>
      <c r="L176" s="20" t="inlineStr">
        <is>
          <t>DE-Ost</t>
        </is>
      </c>
      <c r="M176" s="20" t="inlineStr">
        <is>
          <t>Kuehlware</t>
        </is>
      </c>
      <c r="N176" s="12" t="n">
        <v>33984</v>
      </c>
      <c r="O176" s="12" t="n">
        <v>115545.6</v>
      </c>
      <c r="P176" s="12" t="n">
        <v>92.04000000000001</v>
      </c>
      <c r="Q176" s="12" t="n">
        <v>70.8</v>
      </c>
    </row>
    <row r="177">
      <c r="A177" s="11" t="n">
        <v>45786</v>
      </c>
      <c r="B177" s="20" t="inlineStr">
        <is>
          <t>Odra Handel Sp.</t>
        </is>
      </c>
      <c r="C177" s="20" t="inlineStr">
        <is>
          <t>PL</t>
        </is>
      </c>
      <c r="D177" s="20" t="inlineStr">
        <is>
          <t>Kuehlware</t>
        </is>
      </c>
      <c r="E177" s="12" t="n">
        <v>8352</v>
      </c>
      <c r="F177" s="12" t="n">
        <v>28396.8</v>
      </c>
      <c r="G177" s="12" t="n">
        <v>22.62</v>
      </c>
      <c r="H177" s="12" t="n">
        <v>17.4</v>
      </c>
      <c r="J177" s="11" t="n">
        <v>46147</v>
      </c>
      <c r="K177" s="20" t="inlineStr">
        <is>
          <t>Westfilial AG</t>
        </is>
      </c>
      <c r="L177" s="20" t="inlineStr">
        <is>
          <t>DE-West</t>
        </is>
      </c>
      <c r="M177" s="20" t="inlineStr">
        <is>
          <t>Getraenke</t>
        </is>
      </c>
      <c r="N177" s="12" t="n">
        <v>277824</v>
      </c>
      <c r="O177" s="12" t="n">
        <v>263932.8</v>
      </c>
      <c r="P177" s="12" t="n">
        <v>448.57</v>
      </c>
      <c r="Q177" s="12" t="n">
        <v>289.4</v>
      </c>
    </row>
    <row r="178">
      <c r="A178" s="11" t="n">
        <v>45787</v>
      </c>
      <c r="B178" s="20" t="inlineStr">
        <is>
          <t>Tirol Handel AG</t>
        </is>
      </c>
      <c r="C178" s="20" t="inlineStr">
        <is>
          <t>AT</t>
        </is>
      </c>
      <c r="D178" s="20" t="inlineStr">
        <is>
          <t>Non-Food</t>
        </is>
      </c>
      <c r="E178" s="12" t="n">
        <v>4320</v>
      </c>
      <c r="F178" s="12" t="n">
        <v>54000</v>
      </c>
      <c r="G178" s="12" t="n">
        <v>28.8</v>
      </c>
      <c r="H178" s="12" t="n">
        <v>18</v>
      </c>
      <c r="J178" s="11" t="n">
        <v>46148</v>
      </c>
      <c r="K178" s="20" t="inlineStr">
        <is>
          <t>Tirol Handel AG</t>
        </is>
      </c>
      <c r="L178" s="20" t="inlineStr">
        <is>
          <t>AT</t>
        </is>
      </c>
      <c r="M178" s="20" t="inlineStr">
        <is>
          <t>Trockensortiment</t>
        </is>
      </c>
      <c r="N178" s="12" t="n">
        <v>35712</v>
      </c>
      <c r="O178" s="12" t="n">
        <v>66067.2</v>
      </c>
      <c r="P178" s="12" t="n">
        <v>71.92</v>
      </c>
      <c r="Q178" s="12" t="n">
        <v>49.6</v>
      </c>
    </row>
    <row r="179">
      <c r="A179" s="11" t="n">
        <v>45787</v>
      </c>
      <c r="B179" s="20" t="inlineStr">
        <is>
          <t>Spree Markt AG</t>
        </is>
      </c>
      <c r="C179" s="20" t="inlineStr">
        <is>
          <t>DE-Ost</t>
        </is>
      </c>
      <c r="D179" s="20" t="inlineStr">
        <is>
          <t>Aktionsware</t>
        </is>
      </c>
      <c r="E179" s="12" t="n">
        <v>5076</v>
      </c>
      <c r="F179" s="12" t="n">
        <v>31471.2</v>
      </c>
      <c r="G179" s="12" t="n">
        <v>21.15</v>
      </c>
      <c r="H179" s="12" t="n">
        <v>14.1</v>
      </c>
      <c r="J179" s="11" t="n">
        <v>46149</v>
      </c>
      <c r="K179" s="20" t="inlineStr">
        <is>
          <t>Austria Markt GmbH</t>
        </is>
      </c>
      <c r="L179" s="20" t="inlineStr">
        <is>
          <t>AT</t>
        </is>
      </c>
      <c r="M179" s="20" t="inlineStr">
        <is>
          <t>Non-Food</t>
        </is>
      </c>
      <c r="N179" s="12" t="n">
        <v>5568</v>
      </c>
      <c r="O179" s="12" t="n">
        <v>69600</v>
      </c>
      <c r="P179" s="12" t="n">
        <v>37.12</v>
      </c>
      <c r="Q179" s="12" t="n">
        <v>23.2</v>
      </c>
    </row>
    <row r="180">
      <c r="A180" s="11" t="n">
        <v>45788</v>
      </c>
      <c r="B180" s="20" t="inlineStr">
        <is>
          <t>Sachsen Handel GmbH</t>
        </is>
      </c>
      <c r="C180" s="20" t="inlineStr">
        <is>
          <t>DE-Ost</t>
        </is>
      </c>
      <c r="D180" s="20" t="inlineStr">
        <is>
          <t>Getraenke</t>
        </is>
      </c>
      <c r="E180" s="12" t="n">
        <v>174432</v>
      </c>
      <c r="F180" s="12" t="n">
        <v>165710.4</v>
      </c>
      <c r="G180" s="12" t="n">
        <v>281.63</v>
      </c>
      <c r="H180" s="12" t="n">
        <v>181.7</v>
      </c>
      <c r="J180" s="11" t="n">
        <v>46152</v>
      </c>
      <c r="K180" s="20" t="inlineStr">
        <is>
          <t>Spree Markt AG</t>
        </is>
      </c>
      <c r="L180" s="20" t="inlineStr">
        <is>
          <t>DE-Ost</t>
        </is>
      </c>
      <c r="M180" s="20" t="inlineStr">
        <is>
          <t>Trockensortiment</t>
        </is>
      </c>
      <c r="N180" s="12" t="n">
        <v>72144</v>
      </c>
      <c r="O180" s="12" t="n">
        <v>133466.4</v>
      </c>
      <c r="P180" s="12" t="n">
        <v>145.29</v>
      </c>
      <c r="Q180" s="12" t="n">
        <v>100.2</v>
      </c>
    </row>
    <row r="181">
      <c r="A181" s="11" t="n">
        <v>45788</v>
      </c>
      <c r="B181" s="20" t="inlineStr">
        <is>
          <t>Sued Filialen KG</t>
        </is>
      </c>
      <c r="C181" s="20" t="inlineStr">
        <is>
          <t>DE-Sued</t>
        </is>
      </c>
      <c r="D181" s="20" t="inlineStr">
        <is>
          <t>Non-Food</t>
        </is>
      </c>
      <c r="E181" s="12" t="n">
        <v>11784</v>
      </c>
      <c r="F181" s="12" t="n">
        <v>147300</v>
      </c>
      <c r="G181" s="12" t="n">
        <v>78.56</v>
      </c>
      <c r="H181" s="12" t="n">
        <v>49.1</v>
      </c>
      <c r="J181" s="11" t="n">
        <v>46153</v>
      </c>
      <c r="K181" s="20" t="inlineStr">
        <is>
          <t>Kuestenlager KG</t>
        </is>
      </c>
      <c r="L181" s="20" t="inlineStr">
        <is>
          <t>DE-Nord</t>
        </is>
      </c>
      <c r="M181" s="20" t="inlineStr">
        <is>
          <t>Kuehlware</t>
        </is>
      </c>
      <c r="N181" s="12" t="n">
        <v>66864</v>
      </c>
      <c r="O181" s="12" t="n">
        <v>227337.6</v>
      </c>
      <c r="P181" s="12" t="n">
        <v>181.09</v>
      </c>
      <c r="Q181" s="12" t="n">
        <v>139.3</v>
      </c>
    </row>
    <row r="182">
      <c r="A182" s="11" t="n">
        <v>45790</v>
      </c>
      <c r="B182" s="20" t="inlineStr">
        <is>
          <t>Tirol Handel AG</t>
        </is>
      </c>
      <c r="C182" s="20" t="inlineStr">
        <is>
          <t>AT</t>
        </is>
      </c>
      <c r="D182" s="20" t="inlineStr">
        <is>
          <t>Aktionsware</t>
        </is>
      </c>
      <c r="E182" s="12" t="n">
        <v>2412</v>
      </c>
      <c r="F182" s="12" t="n">
        <v>14954.4</v>
      </c>
      <c r="G182" s="12" t="n">
        <v>10.05</v>
      </c>
      <c r="H182" s="12" t="n">
        <v>6.7</v>
      </c>
      <c r="J182" s="11" t="n">
        <v>46153</v>
      </c>
      <c r="K182" s="20" t="inlineStr">
        <is>
          <t>Sachsen Handel GmbH</t>
        </is>
      </c>
      <c r="L182" s="20" t="inlineStr">
        <is>
          <t>DE-Ost</t>
        </is>
      </c>
      <c r="M182" s="20" t="inlineStr">
        <is>
          <t>Getraenke</t>
        </is>
      </c>
      <c r="N182" s="12" t="n">
        <v>173664</v>
      </c>
      <c r="O182" s="12" t="n">
        <v>164980.8</v>
      </c>
      <c r="P182" s="12" t="n">
        <v>280.4</v>
      </c>
      <c r="Q182" s="12" t="n">
        <v>180.9</v>
      </c>
    </row>
    <row r="183">
      <c r="A183" s="11" t="n">
        <v>45791</v>
      </c>
      <c r="B183" s="20" t="inlineStr">
        <is>
          <t>Donau Handel AG</t>
        </is>
      </c>
      <c r="C183" s="20" t="inlineStr">
        <is>
          <t>DE-Sued</t>
        </is>
      </c>
      <c r="D183" s="20" t="inlineStr">
        <is>
          <t>Getraenke</t>
        </is>
      </c>
      <c r="E183" s="12" t="n">
        <v>287328</v>
      </c>
      <c r="F183" s="12" t="n">
        <v>272961.6</v>
      </c>
      <c r="G183" s="12" t="n">
        <v>463.92</v>
      </c>
      <c r="H183" s="12" t="n">
        <v>299.3</v>
      </c>
      <c r="J183" s="11" t="n">
        <v>46153</v>
      </c>
      <c r="K183" s="20" t="inlineStr">
        <is>
          <t>Donau Handel AG</t>
        </is>
      </c>
      <c r="L183" s="20" t="inlineStr">
        <is>
          <t>DE-Sued</t>
        </is>
      </c>
      <c r="M183" s="20" t="inlineStr">
        <is>
          <t>Getraenke</t>
        </is>
      </c>
      <c r="N183" s="12" t="n">
        <v>296544</v>
      </c>
      <c r="O183" s="12" t="n">
        <v>281716.8</v>
      </c>
      <c r="P183" s="12" t="n">
        <v>478.79</v>
      </c>
      <c r="Q183" s="12" t="n">
        <v>308.9</v>
      </c>
    </row>
    <row r="184">
      <c r="A184" s="11" t="n">
        <v>45791</v>
      </c>
      <c r="B184" s="20" t="inlineStr">
        <is>
          <t>Odra Handel Sp.</t>
        </is>
      </c>
      <c r="C184" s="20" t="inlineStr">
        <is>
          <t>PL</t>
        </is>
      </c>
      <c r="D184" s="20" t="inlineStr">
        <is>
          <t>Trockensortiment</t>
        </is>
      </c>
      <c r="E184" s="12" t="n">
        <v>29520</v>
      </c>
      <c r="F184" s="12" t="n">
        <v>54612</v>
      </c>
      <c r="G184" s="12" t="n">
        <v>59.45</v>
      </c>
      <c r="H184" s="12" t="n">
        <v>41</v>
      </c>
      <c r="J184" s="11" t="n">
        <v>46154</v>
      </c>
      <c r="K184" s="20" t="inlineStr">
        <is>
          <t>Elbe Handel GmbH</t>
        </is>
      </c>
      <c r="L184" s="20" t="inlineStr">
        <is>
          <t>DE-Nord</t>
        </is>
      </c>
      <c r="M184" s="20" t="inlineStr">
        <is>
          <t>Getraenke</t>
        </is>
      </c>
      <c r="N184" s="12" t="n">
        <v>229536</v>
      </c>
      <c r="O184" s="12" t="n">
        <v>218059.2</v>
      </c>
      <c r="P184" s="12" t="n">
        <v>370.61</v>
      </c>
      <c r="Q184" s="12" t="n">
        <v>239.1</v>
      </c>
    </row>
    <row r="185">
      <c r="A185" s="11" t="n">
        <v>45792</v>
      </c>
      <c r="B185" s="20" t="inlineStr">
        <is>
          <t>Tirol Handel AG</t>
        </is>
      </c>
      <c r="C185" s="20" t="inlineStr">
        <is>
          <t>AT</t>
        </is>
      </c>
      <c r="D185" s="20" t="inlineStr">
        <is>
          <t>Getraenke</t>
        </is>
      </c>
      <c r="E185" s="12" t="n">
        <v>83712</v>
      </c>
      <c r="F185" s="12" t="n">
        <v>79526.39999999999</v>
      </c>
      <c r="G185" s="12" t="n">
        <v>135.16</v>
      </c>
      <c r="H185" s="12" t="n">
        <v>87.2</v>
      </c>
      <c r="J185" s="11" t="n">
        <v>46155</v>
      </c>
      <c r="K185" s="20" t="inlineStr">
        <is>
          <t>Donau Handel AG</t>
        </is>
      </c>
      <c r="L185" s="20" t="inlineStr">
        <is>
          <t>DE-Sued</t>
        </is>
      </c>
      <c r="M185" s="20" t="inlineStr">
        <is>
          <t>Kuehlware</t>
        </is>
      </c>
      <c r="N185" s="12" t="n">
        <v>48192</v>
      </c>
      <c r="O185" s="12" t="n">
        <v>163852.8</v>
      </c>
      <c r="P185" s="12" t="n">
        <v>130.52</v>
      </c>
      <c r="Q185" s="12" t="n">
        <v>100.4</v>
      </c>
    </row>
    <row r="186">
      <c r="A186" s="11" t="n">
        <v>45792</v>
      </c>
      <c r="B186" s="20" t="inlineStr">
        <is>
          <t>Hessen Vertrieb GmbH</t>
        </is>
      </c>
      <c r="C186" s="20" t="inlineStr">
        <is>
          <t>DE-Mitte</t>
        </is>
      </c>
      <c r="D186" s="20" t="inlineStr">
        <is>
          <t>Non-Food</t>
        </is>
      </c>
      <c r="E186" s="12" t="n">
        <v>10320</v>
      </c>
      <c r="F186" s="12" t="n">
        <v>129000</v>
      </c>
      <c r="G186" s="12" t="n">
        <v>68.8</v>
      </c>
      <c r="H186" s="12" t="n">
        <v>43</v>
      </c>
      <c r="J186" s="11" t="n">
        <v>46155</v>
      </c>
      <c r="K186" s="20" t="inlineStr">
        <is>
          <t>Ruhr Frische GmbH</t>
        </is>
      </c>
      <c r="L186" s="20" t="inlineStr">
        <is>
          <t>DE-West</t>
        </is>
      </c>
      <c r="M186" s="20" t="inlineStr">
        <is>
          <t>Kuehlware</t>
        </is>
      </c>
      <c r="N186" s="12" t="n">
        <v>54336</v>
      </c>
      <c r="O186" s="12" t="n">
        <v>184742.4</v>
      </c>
      <c r="P186" s="12" t="n">
        <v>147.16</v>
      </c>
      <c r="Q186" s="12" t="n">
        <v>113.2</v>
      </c>
    </row>
    <row r="187">
      <c r="A187" s="11" t="n">
        <v>45793</v>
      </c>
      <c r="B187" s="20" t="inlineStr">
        <is>
          <t>Alpenmarkt GmbH</t>
        </is>
      </c>
      <c r="C187" s="20" t="inlineStr">
        <is>
          <t>DE-Sued</t>
        </is>
      </c>
      <c r="D187" s="20" t="inlineStr">
        <is>
          <t>Aktionsware</t>
        </is>
      </c>
      <c r="E187" s="12" t="n">
        <v>6552</v>
      </c>
      <c r="F187" s="12" t="n">
        <v>40622.4</v>
      </c>
      <c r="G187" s="12" t="n">
        <v>27.3</v>
      </c>
      <c r="H187" s="12" t="n">
        <v>18.2</v>
      </c>
      <c r="J187" s="11" t="n">
        <v>46155</v>
      </c>
      <c r="K187" s="20" t="inlineStr">
        <is>
          <t>Ruhr Frische GmbH</t>
        </is>
      </c>
      <c r="L187" s="20" t="inlineStr">
        <is>
          <t>DE-West</t>
        </is>
      </c>
      <c r="M187" s="20" t="inlineStr">
        <is>
          <t>Non-Food</t>
        </is>
      </c>
      <c r="N187" s="12" t="n">
        <v>18240</v>
      </c>
      <c r="O187" s="12" t="n">
        <v>228000</v>
      </c>
      <c r="P187" s="12" t="n">
        <v>121.6</v>
      </c>
      <c r="Q187" s="12" t="n">
        <v>76</v>
      </c>
    </row>
    <row r="188">
      <c r="A188" s="11" t="n">
        <v>45793</v>
      </c>
      <c r="B188" s="20" t="inlineStr">
        <is>
          <t>Rheinland Retail SE</t>
        </is>
      </c>
      <c r="C188" s="20" t="inlineStr">
        <is>
          <t>DE-West</t>
        </is>
      </c>
      <c r="D188" s="20" t="inlineStr">
        <is>
          <t>Aktionsware</t>
        </is>
      </c>
      <c r="E188" s="12" t="n">
        <v>8928</v>
      </c>
      <c r="F188" s="12" t="n">
        <v>55353.6</v>
      </c>
      <c r="G188" s="12" t="n">
        <v>37.2</v>
      </c>
      <c r="H188" s="12" t="n">
        <v>24.8</v>
      </c>
      <c r="J188" s="11" t="n">
        <v>46155</v>
      </c>
      <c r="K188" s="20" t="inlineStr">
        <is>
          <t>Delta Foods BV</t>
        </is>
      </c>
      <c r="L188" s="20" t="inlineStr">
        <is>
          <t>NL</t>
        </is>
      </c>
      <c r="M188" s="20" t="inlineStr">
        <is>
          <t>Getraenke</t>
        </is>
      </c>
      <c r="N188" s="12" t="n">
        <v>70080</v>
      </c>
      <c r="O188" s="12" t="n">
        <v>66576</v>
      </c>
      <c r="P188" s="12" t="n">
        <v>113.15</v>
      </c>
      <c r="Q188" s="12" t="n">
        <v>73</v>
      </c>
    </row>
    <row r="189">
      <c r="A189" s="11" t="n">
        <v>45793</v>
      </c>
      <c r="B189" s="20" t="inlineStr">
        <is>
          <t>Delta Foods BV</t>
        </is>
      </c>
      <c r="C189" s="20" t="inlineStr">
        <is>
          <t>NL</t>
        </is>
      </c>
      <c r="D189" s="20" t="inlineStr">
        <is>
          <t>Non-Food</t>
        </is>
      </c>
      <c r="E189" s="12" t="n">
        <v>5760</v>
      </c>
      <c r="F189" s="12" t="n">
        <v>72000</v>
      </c>
      <c r="G189" s="12" t="n">
        <v>38.4</v>
      </c>
      <c r="H189" s="12" t="n">
        <v>24</v>
      </c>
      <c r="J189" s="11" t="n">
        <v>46156</v>
      </c>
      <c r="K189" s="20" t="inlineStr">
        <is>
          <t>Sued Filialen KG</t>
        </is>
      </c>
      <c r="L189" s="20" t="inlineStr">
        <is>
          <t>DE-Sued</t>
        </is>
      </c>
      <c r="M189" s="20" t="inlineStr">
        <is>
          <t>Trockensortiment</t>
        </is>
      </c>
      <c r="N189" s="12" t="n">
        <v>129168</v>
      </c>
      <c r="O189" s="12" t="n">
        <v>238960.8</v>
      </c>
      <c r="P189" s="12" t="n">
        <v>260.13</v>
      </c>
      <c r="Q189" s="12" t="n">
        <v>179.4</v>
      </c>
    </row>
    <row r="190">
      <c r="A190" s="11" t="n">
        <v>45795</v>
      </c>
      <c r="B190" s="20" t="inlineStr">
        <is>
          <t>Elbe Handel GmbH</t>
        </is>
      </c>
      <c r="C190" s="20" t="inlineStr">
        <is>
          <t>DE-Nord</t>
        </is>
      </c>
      <c r="D190" s="20" t="inlineStr">
        <is>
          <t>Non-Food</t>
        </is>
      </c>
      <c r="E190" s="12" t="n">
        <v>10368</v>
      </c>
      <c r="F190" s="12" t="n">
        <v>129600</v>
      </c>
      <c r="G190" s="12" t="n">
        <v>69.12</v>
      </c>
      <c r="H190" s="12" t="n">
        <v>43.2</v>
      </c>
      <c r="J190" s="11" t="n">
        <v>46156</v>
      </c>
      <c r="K190" s="20" t="inlineStr">
        <is>
          <t>Delta Foods BV</t>
        </is>
      </c>
      <c r="L190" s="20" t="inlineStr">
        <is>
          <t>NL</t>
        </is>
      </c>
      <c r="M190" s="20" t="inlineStr">
        <is>
          <t>Non-Food</t>
        </is>
      </c>
      <c r="N190" s="12" t="n">
        <v>6552</v>
      </c>
      <c r="O190" s="12" t="n">
        <v>81900</v>
      </c>
      <c r="P190" s="12" t="n">
        <v>43.68</v>
      </c>
      <c r="Q190" s="12" t="n">
        <v>27.3</v>
      </c>
    </row>
    <row r="191">
      <c r="A191" s="11" t="n">
        <v>45795</v>
      </c>
      <c r="B191" s="20" t="inlineStr">
        <is>
          <t>Sachsen Handel GmbH</t>
        </is>
      </c>
      <c r="C191" s="20" t="inlineStr">
        <is>
          <t>DE-Ost</t>
        </is>
      </c>
      <c r="D191" s="20" t="inlineStr">
        <is>
          <t>Kuehlware</t>
        </is>
      </c>
      <c r="E191" s="12" t="n">
        <v>30864</v>
      </c>
      <c r="F191" s="12" t="n">
        <v>104937.6</v>
      </c>
      <c r="G191" s="12" t="n">
        <v>83.59</v>
      </c>
      <c r="H191" s="12" t="n">
        <v>64.3</v>
      </c>
      <c r="J191" s="11" t="n">
        <v>46159</v>
      </c>
      <c r="K191" s="20" t="inlineStr">
        <is>
          <t>Odra Handel Sp.</t>
        </is>
      </c>
      <c r="L191" s="20" t="inlineStr">
        <is>
          <t>PL</t>
        </is>
      </c>
      <c r="M191" s="20" t="inlineStr">
        <is>
          <t>Getraenke</t>
        </is>
      </c>
      <c r="N191" s="12" t="n">
        <v>58272</v>
      </c>
      <c r="O191" s="12" t="n">
        <v>55358.4</v>
      </c>
      <c r="P191" s="12" t="n">
        <v>94.09</v>
      </c>
      <c r="Q191" s="12" t="n">
        <v>60.7</v>
      </c>
    </row>
    <row r="192">
      <c r="A192" s="11" t="n">
        <v>45796</v>
      </c>
      <c r="B192" s="20" t="inlineStr">
        <is>
          <t>Kuestenlager KG</t>
        </is>
      </c>
      <c r="C192" s="20" t="inlineStr">
        <is>
          <t>DE-Nord</t>
        </is>
      </c>
      <c r="D192" s="20" t="inlineStr">
        <is>
          <t>Trockensortiment</t>
        </is>
      </c>
      <c r="E192" s="12" t="n">
        <v>125856</v>
      </c>
      <c r="F192" s="12" t="n">
        <v>232833.6</v>
      </c>
      <c r="G192" s="12" t="n">
        <v>253.46</v>
      </c>
      <c r="H192" s="12" t="n">
        <v>174.8</v>
      </c>
      <c r="J192" s="11" t="n">
        <v>46160</v>
      </c>
      <c r="K192" s="20" t="inlineStr">
        <is>
          <t>Westfilial AG</t>
        </is>
      </c>
      <c r="L192" s="20" t="inlineStr">
        <is>
          <t>DE-West</t>
        </is>
      </c>
      <c r="M192" s="20" t="inlineStr">
        <is>
          <t>Trockensortiment</t>
        </is>
      </c>
      <c r="N192" s="12" t="n">
        <v>192384</v>
      </c>
      <c r="O192" s="12" t="n">
        <v>355910.4</v>
      </c>
      <c r="P192" s="12" t="n">
        <v>387.44</v>
      </c>
      <c r="Q192" s="12" t="n">
        <v>267.2</v>
      </c>
    </row>
    <row r="193">
      <c r="A193" s="11" t="n">
        <v>45796</v>
      </c>
      <c r="B193" s="20" t="inlineStr">
        <is>
          <t>Westfilial AG</t>
        </is>
      </c>
      <c r="C193" s="20" t="inlineStr">
        <is>
          <t>DE-West</t>
        </is>
      </c>
      <c r="D193" s="20" t="inlineStr">
        <is>
          <t>Non-Food</t>
        </is>
      </c>
      <c r="E193" s="12" t="n">
        <v>16248</v>
      </c>
      <c r="F193" s="12" t="n">
        <v>203100</v>
      </c>
      <c r="G193" s="12" t="n">
        <v>108.32</v>
      </c>
      <c r="H193" s="12" t="n">
        <v>67.7</v>
      </c>
      <c r="J193" s="11" t="n">
        <v>46160</v>
      </c>
      <c r="K193" s="20" t="inlineStr">
        <is>
          <t>Odra Handel Sp.</t>
        </is>
      </c>
      <c r="L193" s="20" t="inlineStr">
        <is>
          <t>PL</t>
        </is>
      </c>
      <c r="M193" s="20" t="inlineStr">
        <is>
          <t>Aktionsware</t>
        </is>
      </c>
      <c r="N193" s="12" t="n">
        <v>10872</v>
      </c>
      <c r="O193" s="12" t="n">
        <v>67406.39999999999</v>
      </c>
      <c r="P193" s="12" t="n">
        <v>45.3</v>
      </c>
      <c r="Q193" s="12" t="n">
        <v>30.2</v>
      </c>
    </row>
    <row r="194">
      <c r="A194" s="11" t="n">
        <v>45797</v>
      </c>
      <c r="B194" s="20" t="inlineStr">
        <is>
          <t>Austria Markt GmbH</t>
        </is>
      </c>
      <c r="C194" s="20" t="inlineStr">
        <is>
          <t>AT</t>
        </is>
      </c>
      <c r="D194" s="20" t="inlineStr">
        <is>
          <t>Kuehlware</t>
        </is>
      </c>
      <c r="E194" s="12" t="n">
        <v>12240</v>
      </c>
      <c r="F194" s="12" t="n">
        <v>41616</v>
      </c>
      <c r="G194" s="12" t="n">
        <v>33.15</v>
      </c>
      <c r="H194" s="12" t="n">
        <v>25.5</v>
      </c>
      <c r="J194" s="11" t="n">
        <v>46161</v>
      </c>
      <c r="K194" s="20" t="inlineStr">
        <is>
          <t>Randstad Retail BV</t>
        </is>
      </c>
      <c r="L194" s="20" t="inlineStr">
        <is>
          <t>NL</t>
        </is>
      </c>
      <c r="M194" s="20" t="inlineStr">
        <is>
          <t>Kuehlware</t>
        </is>
      </c>
      <c r="N194" s="12" t="n">
        <v>24624</v>
      </c>
      <c r="O194" s="12" t="n">
        <v>83721.60000000001</v>
      </c>
      <c r="P194" s="12" t="n">
        <v>66.69</v>
      </c>
      <c r="Q194" s="12" t="n">
        <v>51.3</v>
      </c>
    </row>
    <row r="195">
      <c r="A195" s="11" t="n">
        <v>45797</v>
      </c>
      <c r="B195" s="20" t="inlineStr">
        <is>
          <t>Austria Markt GmbH</t>
        </is>
      </c>
      <c r="C195" s="20" t="inlineStr">
        <is>
          <t>AT</t>
        </is>
      </c>
      <c r="D195" s="20" t="inlineStr">
        <is>
          <t>Trockensortiment</t>
        </is>
      </c>
      <c r="E195" s="12" t="n">
        <v>32400</v>
      </c>
      <c r="F195" s="12" t="n">
        <v>59940</v>
      </c>
      <c r="G195" s="12" t="n">
        <v>65.25</v>
      </c>
      <c r="H195" s="12" t="n">
        <v>45</v>
      </c>
      <c r="J195" s="11" t="n">
        <v>46162</v>
      </c>
      <c r="K195" s="20" t="inlineStr">
        <is>
          <t>Nordmarkt AG</t>
        </is>
      </c>
      <c r="L195" s="20" t="inlineStr">
        <is>
          <t>DE-Nord</t>
        </is>
      </c>
      <c r="M195" s="20" t="inlineStr">
        <is>
          <t>Aktionsware</t>
        </is>
      </c>
      <c r="N195" s="12" t="n">
        <v>5760</v>
      </c>
      <c r="O195" s="12" t="n">
        <v>35712</v>
      </c>
      <c r="P195" s="12" t="n">
        <v>24</v>
      </c>
      <c r="Q195" s="12" t="n">
        <v>16</v>
      </c>
    </row>
    <row r="196">
      <c r="A196" s="11" t="n">
        <v>45797</v>
      </c>
      <c r="B196" s="20" t="inlineStr">
        <is>
          <t>Hessen Vertrieb GmbH</t>
        </is>
      </c>
      <c r="C196" s="20" t="inlineStr">
        <is>
          <t>DE-Mitte</t>
        </is>
      </c>
      <c r="D196" s="20" t="inlineStr">
        <is>
          <t>Aktionsware</t>
        </is>
      </c>
      <c r="E196" s="12" t="n">
        <v>5256</v>
      </c>
      <c r="F196" s="12" t="n">
        <v>32587.2</v>
      </c>
      <c r="G196" s="12" t="n">
        <v>21.9</v>
      </c>
      <c r="H196" s="12" t="n">
        <v>14.6</v>
      </c>
      <c r="J196" s="11" t="n">
        <v>46163</v>
      </c>
      <c r="K196" s="20" t="inlineStr">
        <is>
          <t>Tirol Handel AG</t>
        </is>
      </c>
      <c r="L196" s="20" t="inlineStr">
        <is>
          <t>AT</t>
        </is>
      </c>
      <c r="M196" s="20" t="inlineStr">
        <is>
          <t>Aktionsware</t>
        </is>
      </c>
      <c r="N196" s="12" t="n">
        <v>2772</v>
      </c>
      <c r="O196" s="12" t="n">
        <v>17186.4</v>
      </c>
      <c r="P196" s="12" t="n">
        <v>11.55</v>
      </c>
      <c r="Q196" s="12" t="n">
        <v>7.7</v>
      </c>
    </row>
    <row r="197">
      <c r="A197" s="11" t="n">
        <v>45797</v>
      </c>
      <c r="B197" s="20" t="inlineStr">
        <is>
          <t>Elbe Handel GmbH</t>
        </is>
      </c>
      <c r="C197" s="20" t="inlineStr">
        <is>
          <t>DE-Nord</t>
        </is>
      </c>
      <c r="D197" s="20" t="inlineStr">
        <is>
          <t>Aktionsware</t>
        </is>
      </c>
      <c r="E197" s="12" t="n">
        <v>5904</v>
      </c>
      <c r="F197" s="12" t="n">
        <v>36604.8</v>
      </c>
      <c r="G197" s="12" t="n">
        <v>24.6</v>
      </c>
      <c r="H197" s="12" t="n">
        <v>16.4</v>
      </c>
      <c r="J197" s="11" t="n">
        <v>46163</v>
      </c>
      <c r="K197" s="20" t="inlineStr">
        <is>
          <t>Hessen Vertrieb GmbH</t>
        </is>
      </c>
      <c r="L197" s="20" t="inlineStr">
        <is>
          <t>DE-Mitte</t>
        </is>
      </c>
      <c r="M197" s="20" t="inlineStr">
        <is>
          <t>Non-Food</t>
        </is>
      </c>
      <c r="N197" s="12" t="n">
        <v>8832</v>
      </c>
      <c r="O197" s="12" t="n">
        <v>110400</v>
      </c>
      <c r="P197" s="12" t="n">
        <v>58.88</v>
      </c>
      <c r="Q197" s="12" t="n">
        <v>36.8</v>
      </c>
    </row>
    <row r="198">
      <c r="A198" s="11" t="n">
        <v>45797</v>
      </c>
      <c r="B198" s="20" t="inlineStr">
        <is>
          <t>Alpenmarkt GmbH</t>
        </is>
      </c>
      <c r="C198" s="20" t="inlineStr">
        <is>
          <t>DE-Sued</t>
        </is>
      </c>
      <c r="D198" s="20" t="inlineStr">
        <is>
          <t>Trockensortiment</t>
        </is>
      </c>
      <c r="E198" s="12" t="n">
        <v>124560</v>
      </c>
      <c r="F198" s="12" t="n">
        <v>230436</v>
      </c>
      <c r="G198" s="12" t="n">
        <v>250.85</v>
      </c>
      <c r="H198" s="12" t="n">
        <v>173</v>
      </c>
      <c r="J198" s="11" t="n">
        <v>46163</v>
      </c>
      <c r="K198" s="20" t="inlineStr">
        <is>
          <t>Kuestenlager KG</t>
        </is>
      </c>
      <c r="L198" s="20" t="inlineStr">
        <is>
          <t>DE-Nord</t>
        </is>
      </c>
      <c r="M198" s="20" t="inlineStr">
        <is>
          <t>Non-Food</t>
        </is>
      </c>
      <c r="N198" s="12" t="n">
        <v>10968</v>
      </c>
      <c r="O198" s="12" t="n">
        <v>137100</v>
      </c>
      <c r="P198" s="12" t="n">
        <v>73.12</v>
      </c>
      <c r="Q198" s="12" t="n">
        <v>45.7</v>
      </c>
    </row>
    <row r="199">
      <c r="A199" s="11" t="n">
        <v>45798</v>
      </c>
      <c r="B199" s="20" t="inlineStr">
        <is>
          <t>Mainpunkt Handel</t>
        </is>
      </c>
      <c r="C199" s="20" t="inlineStr">
        <is>
          <t>DE-Mitte</t>
        </is>
      </c>
      <c r="D199" s="20" t="inlineStr">
        <is>
          <t>Trockensortiment</t>
        </is>
      </c>
      <c r="E199" s="12" t="n">
        <v>90000</v>
      </c>
      <c r="F199" s="12" t="n">
        <v>166500</v>
      </c>
      <c r="G199" s="12" t="n">
        <v>181.25</v>
      </c>
      <c r="H199" s="12" t="n">
        <v>125</v>
      </c>
      <c r="J199" s="11" t="n">
        <v>46163</v>
      </c>
      <c r="K199" s="20" t="inlineStr">
        <is>
          <t>Alpenmarkt GmbH</t>
        </is>
      </c>
      <c r="L199" s="20" t="inlineStr">
        <is>
          <t>DE-Sued</t>
        </is>
      </c>
      <c r="M199" s="20" t="inlineStr">
        <is>
          <t>Aktionsware</t>
        </is>
      </c>
      <c r="N199" s="12" t="n">
        <v>7776</v>
      </c>
      <c r="O199" s="12" t="n">
        <v>48211.2</v>
      </c>
      <c r="P199" s="12" t="n">
        <v>32.4</v>
      </c>
      <c r="Q199" s="12" t="n">
        <v>21.6</v>
      </c>
    </row>
    <row r="200">
      <c r="A200" s="11" t="n">
        <v>45798</v>
      </c>
      <c r="B200" s="20" t="inlineStr">
        <is>
          <t>Spree Markt AG</t>
        </is>
      </c>
      <c r="C200" s="20" t="inlineStr">
        <is>
          <t>DE-Ost</t>
        </is>
      </c>
      <c r="D200" s="20" t="inlineStr">
        <is>
          <t>Trockensortiment</t>
        </is>
      </c>
      <c r="E200" s="12" t="n">
        <v>62784</v>
      </c>
      <c r="F200" s="12" t="n">
        <v>116150.4</v>
      </c>
      <c r="G200" s="12" t="n">
        <v>126.44</v>
      </c>
      <c r="H200" s="12" t="n">
        <v>87.2</v>
      </c>
      <c r="J200" s="11" t="n">
        <v>46164</v>
      </c>
      <c r="K200" s="20" t="inlineStr">
        <is>
          <t>Wisla Retail Sp.</t>
        </is>
      </c>
      <c r="L200" s="20" t="inlineStr">
        <is>
          <t>PL</t>
        </is>
      </c>
      <c r="M200" s="20" t="inlineStr">
        <is>
          <t>Kuehlware</t>
        </is>
      </c>
      <c r="N200" s="12" t="n">
        <v>8016</v>
      </c>
      <c r="O200" s="12" t="n">
        <v>27254.4</v>
      </c>
      <c r="P200" s="12" t="n">
        <v>21.71</v>
      </c>
      <c r="Q200" s="12" t="n">
        <v>16.7</v>
      </c>
    </row>
    <row r="201">
      <c r="A201" s="11" t="n">
        <v>45801</v>
      </c>
      <c r="B201" s="20" t="inlineStr">
        <is>
          <t>Nordmarkt AG</t>
        </is>
      </c>
      <c r="C201" s="20" t="inlineStr">
        <is>
          <t>DE-Nord</t>
        </is>
      </c>
      <c r="D201" s="20" t="inlineStr">
        <is>
          <t>Getraenke</t>
        </is>
      </c>
      <c r="E201" s="12" t="n">
        <v>200448</v>
      </c>
      <c r="F201" s="12" t="n">
        <v>190425.6</v>
      </c>
      <c r="G201" s="12" t="n">
        <v>323.64</v>
      </c>
      <c r="H201" s="12" t="n">
        <v>208.8</v>
      </c>
      <c r="J201" s="11" t="n">
        <v>46165</v>
      </c>
      <c r="K201" s="20" t="inlineStr">
        <is>
          <t>Austria Markt GmbH</t>
        </is>
      </c>
      <c r="L201" s="20" t="inlineStr">
        <is>
          <t>AT</t>
        </is>
      </c>
      <c r="M201" s="20" t="inlineStr">
        <is>
          <t>Kuehlware</t>
        </is>
      </c>
      <c r="N201" s="12" t="n">
        <v>14832</v>
      </c>
      <c r="O201" s="12" t="n">
        <v>50428.8</v>
      </c>
      <c r="P201" s="12" t="n">
        <v>40.17</v>
      </c>
      <c r="Q201" s="12" t="n">
        <v>30.9</v>
      </c>
    </row>
    <row r="202">
      <c r="A202" s="11" t="n">
        <v>45801</v>
      </c>
      <c r="B202" s="20" t="inlineStr">
        <is>
          <t>Sachsen Handel GmbH</t>
        </is>
      </c>
      <c r="C202" s="20" t="inlineStr">
        <is>
          <t>DE-Ost</t>
        </is>
      </c>
      <c r="D202" s="20" t="inlineStr">
        <is>
          <t>Non-Food</t>
        </is>
      </c>
      <c r="E202" s="12" t="n">
        <v>7176</v>
      </c>
      <c r="F202" s="12" t="n">
        <v>89700</v>
      </c>
      <c r="G202" s="12" t="n">
        <v>47.84</v>
      </c>
      <c r="H202" s="12" t="n">
        <v>29.9</v>
      </c>
      <c r="J202" s="11" t="n">
        <v>46166</v>
      </c>
      <c r="K202" s="20" t="inlineStr">
        <is>
          <t>Austria Markt GmbH</t>
        </is>
      </c>
      <c r="L202" s="20" t="inlineStr">
        <is>
          <t>AT</t>
        </is>
      </c>
      <c r="M202" s="20" t="inlineStr">
        <is>
          <t>Getraenke</t>
        </is>
      </c>
      <c r="N202" s="12" t="n">
        <v>77088</v>
      </c>
      <c r="O202" s="12" t="n">
        <v>73233.60000000001</v>
      </c>
      <c r="P202" s="12" t="n">
        <v>124.47</v>
      </c>
      <c r="Q202" s="12" t="n">
        <v>80.3</v>
      </c>
    </row>
    <row r="203">
      <c r="A203" s="11" t="n">
        <v>45801</v>
      </c>
      <c r="B203" s="20" t="inlineStr">
        <is>
          <t>Odra Handel Sp.</t>
        </is>
      </c>
      <c r="C203" s="20" t="inlineStr">
        <is>
          <t>PL</t>
        </is>
      </c>
      <c r="D203" s="20" t="inlineStr">
        <is>
          <t>Getraenke</t>
        </is>
      </c>
      <c r="E203" s="12" t="n">
        <v>52224</v>
      </c>
      <c r="F203" s="12" t="n">
        <v>49612.8</v>
      </c>
      <c r="G203" s="12" t="n">
        <v>84.31999999999999</v>
      </c>
      <c r="H203" s="12" t="n">
        <v>54.4</v>
      </c>
      <c r="J203" s="11" t="n">
        <v>46166</v>
      </c>
      <c r="K203" s="20" t="inlineStr">
        <is>
          <t>Hessen Vertrieb GmbH</t>
        </is>
      </c>
      <c r="L203" s="20" t="inlineStr">
        <is>
          <t>DE-Mitte</t>
        </is>
      </c>
      <c r="M203" s="20" t="inlineStr">
        <is>
          <t>Kuehlware</t>
        </is>
      </c>
      <c r="N203" s="12" t="n">
        <v>37104</v>
      </c>
      <c r="O203" s="12" t="n">
        <v>126153.6</v>
      </c>
      <c r="P203" s="12" t="n">
        <v>100.49</v>
      </c>
      <c r="Q203" s="12" t="n">
        <v>77.3</v>
      </c>
    </row>
    <row r="204">
      <c r="A204" s="11" t="n">
        <v>45802</v>
      </c>
      <c r="B204" s="20" t="inlineStr">
        <is>
          <t>Mainpunkt Handel</t>
        </is>
      </c>
      <c r="C204" s="20" t="inlineStr">
        <is>
          <t>DE-Mitte</t>
        </is>
      </c>
      <c r="D204" s="20" t="inlineStr">
        <is>
          <t>Kuehlware</t>
        </is>
      </c>
      <c r="E204" s="12" t="n">
        <v>31824</v>
      </c>
      <c r="F204" s="12" t="n">
        <v>108201.6</v>
      </c>
      <c r="G204" s="12" t="n">
        <v>86.19</v>
      </c>
      <c r="H204" s="12" t="n">
        <v>66.3</v>
      </c>
      <c r="J204" s="11" t="n">
        <v>46167</v>
      </c>
      <c r="K204" s="20" t="inlineStr">
        <is>
          <t>Alpenmarkt GmbH</t>
        </is>
      </c>
      <c r="L204" s="20" t="inlineStr">
        <is>
          <t>DE-Sued</t>
        </is>
      </c>
      <c r="M204" s="20" t="inlineStr">
        <is>
          <t>Non-Food</t>
        </is>
      </c>
      <c r="N204" s="12" t="n">
        <v>14112</v>
      </c>
      <c r="O204" s="12" t="n">
        <v>176400</v>
      </c>
      <c r="P204" s="12" t="n">
        <v>94.08</v>
      </c>
      <c r="Q204" s="12" t="n">
        <v>58.8</v>
      </c>
    </row>
    <row r="205">
      <c r="A205" s="11" t="n">
        <v>45802</v>
      </c>
      <c r="B205" s="20" t="inlineStr">
        <is>
          <t>Sued Filialen KG</t>
        </is>
      </c>
      <c r="C205" s="20" t="inlineStr">
        <is>
          <t>DE-Sued</t>
        </is>
      </c>
      <c r="D205" s="20" t="inlineStr">
        <is>
          <t>Kuehlware</t>
        </is>
      </c>
      <c r="E205" s="12" t="n">
        <v>49824</v>
      </c>
      <c r="F205" s="12" t="n">
        <v>169401.6</v>
      </c>
      <c r="G205" s="12" t="n">
        <v>134.94</v>
      </c>
      <c r="H205" s="12" t="n">
        <v>103.8</v>
      </c>
      <c r="J205" s="11" t="n">
        <v>46167</v>
      </c>
      <c r="K205" s="20" t="inlineStr">
        <is>
          <t>Randstad Retail BV</t>
        </is>
      </c>
      <c r="L205" s="20" t="inlineStr">
        <is>
          <t>NL</t>
        </is>
      </c>
      <c r="M205" s="20" t="inlineStr">
        <is>
          <t>Aktionsware</t>
        </is>
      </c>
      <c r="N205" s="12" t="n">
        <v>3096</v>
      </c>
      <c r="O205" s="12" t="n">
        <v>19195.2</v>
      </c>
      <c r="P205" s="12" t="n">
        <v>12.9</v>
      </c>
      <c r="Q205" s="12" t="n">
        <v>8.6</v>
      </c>
    </row>
    <row r="206">
      <c r="A206" s="11" t="n">
        <v>45809</v>
      </c>
      <c r="B206" s="20" t="inlineStr">
        <is>
          <t>Randstad Retail BV</t>
        </is>
      </c>
      <c r="C206" s="20" t="inlineStr">
        <is>
          <t>NL</t>
        </is>
      </c>
      <c r="D206" s="20" t="inlineStr">
        <is>
          <t>Non-Food</t>
        </is>
      </c>
      <c r="E206" s="12" t="n">
        <v>6816</v>
      </c>
      <c r="F206" s="12" t="n">
        <v>85200</v>
      </c>
      <c r="G206" s="12" t="n">
        <v>45.44</v>
      </c>
      <c r="H206" s="12" t="n">
        <v>28.4</v>
      </c>
      <c r="J206" s="11" t="n">
        <v>46174</v>
      </c>
      <c r="K206" s="20" t="inlineStr">
        <is>
          <t>Sachsen Handel GmbH</t>
        </is>
      </c>
      <c r="L206" s="20" t="inlineStr">
        <is>
          <t>DE-Ost</t>
        </is>
      </c>
      <c r="M206" s="20" t="inlineStr">
        <is>
          <t>Aktionsware</t>
        </is>
      </c>
      <c r="N206" s="12" t="n">
        <v>6372</v>
      </c>
      <c r="O206" s="12" t="n">
        <v>39506.4</v>
      </c>
      <c r="P206" s="12" t="n">
        <v>26.55</v>
      </c>
      <c r="Q206" s="12" t="n">
        <v>17.7</v>
      </c>
    </row>
    <row r="207">
      <c r="A207" s="11" t="n">
        <v>45810</v>
      </c>
      <c r="B207" s="20" t="inlineStr">
        <is>
          <t>Randstad Retail BV</t>
        </is>
      </c>
      <c r="C207" s="20" t="inlineStr">
        <is>
          <t>NL</t>
        </is>
      </c>
      <c r="D207" s="20" t="inlineStr">
        <is>
          <t>Aktionsware</t>
        </is>
      </c>
      <c r="E207" s="12" t="n">
        <v>4068</v>
      </c>
      <c r="F207" s="12" t="n">
        <v>25221.6</v>
      </c>
      <c r="G207" s="12" t="n">
        <v>16.95</v>
      </c>
      <c r="H207" s="12" t="n">
        <v>11.3</v>
      </c>
      <c r="J207" s="11" t="n">
        <v>46175</v>
      </c>
      <c r="K207" s="20" t="inlineStr">
        <is>
          <t>Mainpunkt Handel</t>
        </is>
      </c>
      <c r="L207" s="20" t="inlineStr">
        <is>
          <t>DE-Mitte</t>
        </is>
      </c>
      <c r="M207" s="20" t="inlineStr">
        <is>
          <t>Trockensortiment</t>
        </is>
      </c>
      <c r="N207" s="12" t="n">
        <v>97344</v>
      </c>
      <c r="O207" s="12" t="n">
        <v>180086.4</v>
      </c>
      <c r="P207" s="12" t="n">
        <v>196.04</v>
      </c>
      <c r="Q207" s="12" t="n">
        <v>135.2</v>
      </c>
    </row>
    <row r="208">
      <c r="A208" s="11" t="n">
        <v>45811</v>
      </c>
      <c r="B208" s="20" t="inlineStr">
        <is>
          <t>Mainpunkt Handel</t>
        </is>
      </c>
      <c r="C208" s="20" t="inlineStr">
        <is>
          <t>DE-Mitte</t>
        </is>
      </c>
      <c r="D208" s="20" t="inlineStr">
        <is>
          <t>Getraenke</t>
        </is>
      </c>
      <c r="E208" s="12" t="n">
        <v>209568</v>
      </c>
      <c r="F208" s="12" t="n">
        <v>199089.6</v>
      </c>
      <c r="G208" s="12" t="n">
        <v>338.37</v>
      </c>
      <c r="H208" s="12" t="n">
        <v>218.3</v>
      </c>
      <c r="J208" s="11" t="n">
        <v>46175</v>
      </c>
      <c r="K208" s="20" t="inlineStr">
        <is>
          <t>Kuestenlager KG</t>
        </is>
      </c>
      <c r="L208" s="20" t="inlineStr">
        <is>
          <t>DE-Nord</t>
        </is>
      </c>
      <c r="M208" s="20" t="inlineStr">
        <is>
          <t>Getraenke</t>
        </is>
      </c>
      <c r="N208" s="12" t="n">
        <v>241728</v>
      </c>
      <c r="O208" s="12" t="n">
        <v>229641.6</v>
      </c>
      <c r="P208" s="12" t="n">
        <v>390.29</v>
      </c>
      <c r="Q208" s="12" t="n">
        <v>251.8</v>
      </c>
    </row>
    <row r="209">
      <c r="A209" s="11" t="n">
        <v>45811</v>
      </c>
      <c r="B209" s="20" t="inlineStr">
        <is>
          <t>Delta Foods BV</t>
        </is>
      </c>
      <c r="C209" s="20" t="inlineStr">
        <is>
          <t>NL</t>
        </is>
      </c>
      <c r="D209" s="20" t="inlineStr">
        <is>
          <t>Kuehlware</t>
        </is>
      </c>
      <c r="E209" s="12" t="n">
        <v>20448</v>
      </c>
      <c r="F209" s="12" t="n">
        <v>69523.2</v>
      </c>
      <c r="G209" s="12" t="n">
        <v>55.38</v>
      </c>
      <c r="H209" s="12" t="n">
        <v>42.6</v>
      </c>
      <c r="J209" s="11" t="n">
        <v>46175</v>
      </c>
      <c r="K209" s="20" t="inlineStr">
        <is>
          <t>Sachsen Handel GmbH</t>
        </is>
      </c>
      <c r="L209" s="20" t="inlineStr">
        <is>
          <t>DE-Ost</t>
        </is>
      </c>
      <c r="M209" s="20" t="inlineStr">
        <is>
          <t>Non-Food</t>
        </is>
      </c>
      <c r="N209" s="12" t="n">
        <v>8112</v>
      </c>
      <c r="O209" s="12" t="n">
        <v>101400</v>
      </c>
      <c r="P209" s="12" t="n">
        <v>54.08</v>
      </c>
      <c r="Q209" s="12" t="n">
        <v>33.8</v>
      </c>
    </row>
    <row r="210">
      <c r="A210" s="11" t="n">
        <v>45812</v>
      </c>
      <c r="B210" s="20" t="inlineStr">
        <is>
          <t>Nordmarkt AG</t>
        </is>
      </c>
      <c r="C210" s="20" t="inlineStr">
        <is>
          <t>DE-Nord</t>
        </is>
      </c>
      <c r="D210" s="20" t="inlineStr">
        <is>
          <t>Trockensortiment</t>
        </is>
      </c>
      <c r="E210" s="12" t="n">
        <v>114696</v>
      </c>
      <c r="F210" s="12" t="n">
        <v>212187.6</v>
      </c>
      <c r="G210" s="12" t="n">
        <v>230.99</v>
      </c>
      <c r="H210" s="12" t="n">
        <v>159.3</v>
      </c>
      <c r="J210" s="11" t="n">
        <v>46176</v>
      </c>
      <c r="K210" s="20" t="inlineStr">
        <is>
          <t>Randstad Retail BV</t>
        </is>
      </c>
      <c r="L210" s="20" t="inlineStr">
        <is>
          <t>NL</t>
        </is>
      </c>
      <c r="M210" s="20" t="inlineStr">
        <is>
          <t>Non-Food</t>
        </is>
      </c>
      <c r="N210" s="12" t="n">
        <v>6504</v>
      </c>
      <c r="O210" s="12" t="n">
        <v>81300</v>
      </c>
      <c r="P210" s="12" t="n">
        <v>43.36</v>
      </c>
      <c r="Q210" s="12" t="n">
        <v>27.1</v>
      </c>
    </row>
    <row r="211">
      <c r="A211" s="11" t="n">
        <v>45813</v>
      </c>
      <c r="B211" s="20" t="inlineStr">
        <is>
          <t>Tirol Handel AG</t>
        </is>
      </c>
      <c r="C211" s="20" t="inlineStr">
        <is>
          <t>AT</t>
        </is>
      </c>
      <c r="D211" s="20" t="inlineStr">
        <is>
          <t>Getraenke</t>
        </is>
      </c>
      <c r="E211" s="12" t="n">
        <v>86208</v>
      </c>
      <c r="F211" s="12" t="n">
        <v>81897.60000000001</v>
      </c>
      <c r="G211" s="12" t="n">
        <v>139.19</v>
      </c>
      <c r="H211" s="12" t="n">
        <v>89.8</v>
      </c>
      <c r="J211" s="11" t="n">
        <v>46177</v>
      </c>
      <c r="K211" s="20" t="inlineStr">
        <is>
          <t>Elbe Handel GmbH</t>
        </is>
      </c>
      <c r="L211" s="20" t="inlineStr">
        <is>
          <t>DE-Nord</t>
        </is>
      </c>
      <c r="M211" s="20" t="inlineStr">
        <is>
          <t>Kuehlware</t>
        </is>
      </c>
      <c r="N211" s="12" t="n">
        <v>67488</v>
      </c>
      <c r="O211" s="12" t="n">
        <v>229459.2</v>
      </c>
      <c r="P211" s="12" t="n">
        <v>182.78</v>
      </c>
      <c r="Q211" s="12" t="n">
        <v>140.6</v>
      </c>
    </row>
    <row r="212">
      <c r="A212" s="11" t="n">
        <v>45813</v>
      </c>
      <c r="B212" s="20" t="inlineStr">
        <is>
          <t>Spree Markt AG</t>
        </is>
      </c>
      <c r="C212" s="20" t="inlineStr">
        <is>
          <t>DE-Ost</t>
        </is>
      </c>
      <c r="D212" s="20" t="inlineStr">
        <is>
          <t>Kuehlware</t>
        </is>
      </c>
      <c r="E212" s="12" t="n">
        <v>29184</v>
      </c>
      <c r="F212" s="12" t="n">
        <v>99225.60000000001</v>
      </c>
      <c r="G212" s="12" t="n">
        <v>79.04000000000001</v>
      </c>
      <c r="H212" s="12" t="n">
        <v>60.8</v>
      </c>
      <c r="J212" s="11" t="n">
        <v>46178</v>
      </c>
      <c r="K212" s="20" t="inlineStr">
        <is>
          <t>Tirol Handel AG</t>
        </is>
      </c>
      <c r="L212" s="20" t="inlineStr">
        <is>
          <t>AT</t>
        </is>
      </c>
      <c r="M212" s="20" t="inlineStr">
        <is>
          <t>Non-Food</t>
        </is>
      </c>
      <c r="N212" s="12" t="n">
        <v>4776</v>
      </c>
      <c r="O212" s="12" t="n">
        <v>59700</v>
      </c>
      <c r="P212" s="12" t="n">
        <v>31.84</v>
      </c>
      <c r="Q212" s="12" t="n">
        <v>19.9</v>
      </c>
    </row>
    <row r="213">
      <c r="A213" s="11" t="n">
        <v>45814</v>
      </c>
      <c r="B213" s="20" t="inlineStr">
        <is>
          <t>Mainpunkt Handel</t>
        </is>
      </c>
      <c r="C213" s="20" t="inlineStr">
        <is>
          <t>DE-Mitte</t>
        </is>
      </c>
      <c r="D213" s="20" t="inlineStr">
        <is>
          <t>Aktionsware</t>
        </is>
      </c>
      <c r="E213" s="12" t="n">
        <v>6696</v>
      </c>
      <c r="F213" s="12" t="n">
        <v>41515.2</v>
      </c>
      <c r="G213" s="12" t="n">
        <v>27.9</v>
      </c>
      <c r="H213" s="12" t="n">
        <v>18.6</v>
      </c>
      <c r="J213" s="11" t="n">
        <v>46178</v>
      </c>
      <c r="K213" s="20" t="inlineStr">
        <is>
          <t>Ruhr Frische GmbH</t>
        </is>
      </c>
      <c r="L213" s="20" t="inlineStr">
        <is>
          <t>DE-West</t>
        </is>
      </c>
      <c r="M213" s="20" t="inlineStr">
        <is>
          <t>Aktionsware</t>
        </is>
      </c>
      <c r="N213" s="12" t="n">
        <v>12348</v>
      </c>
      <c r="O213" s="12" t="n">
        <v>76557.60000000001</v>
      </c>
      <c r="P213" s="12" t="n">
        <v>51.45</v>
      </c>
      <c r="Q213" s="12" t="n">
        <v>34.3</v>
      </c>
    </row>
    <row r="214">
      <c r="A214" s="11" t="n">
        <v>45815</v>
      </c>
      <c r="B214" s="20" t="inlineStr">
        <is>
          <t>Tirol Handel AG</t>
        </is>
      </c>
      <c r="C214" s="20" t="inlineStr">
        <is>
          <t>AT</t>
        </is>
      </c>
      <c r="D214" s="20" t="inlineStr">
        <is>
          <t>Aktionsware</t>
        </is>
      </c>
      <c r="E214" s="12" t="n">
        <v>2988</v>
      </c>
      <c r="F214" s="12" t="n">
        <v>18525.6</v>
      </c>
      <c r="G214" s="12" t="n">
        <v>12.45</v>
      </c>
      <c r="H214" s="12" t="n">
        <v>8.300000000000001</v>
      </c>
      <c r="J214" s="11" t="n">
        <v>46179</v>
      </c>
      <c r="K214" s="20" t="inlineStr">
        <is>
          <t>Tirol Handel AG</t>
        </is>
      </c>
      <c r="L214" s="20" t="inlineStr">
        <is>
          <t>AT</t>
        </is>
      </c>
      <c r="M214" s="20" t="inlineStr">
        <is>
          <t>Trockensortiment</t>
        </is>
      </c>
      <c r="N214" s="12" t="n">
        <v>32976</v>
      </c>
      <c r="O214" s="12" t="n">
        <v>61005.6</v>
      </c>
      <c r="P214" s="12" t="n">
        <v>66.41</v>
      </c>
      <c r="Q214" s="12" t="n">
        <v>45.8</v>
      </c>
    </row>
    <row r="215">
      <c r="A215" s="11" t="n">
        <v>45815</v>
      </c>
      <c r="B215" s="20" t="inlineStr">
        <is>
          <t>Kuestenlager KG</t>
        </is>
      </c>
      <c r="C215" s="20" t="inlineStr">
        <is>
          <t>DE-Nord</t>
        </is>
      </c>
      <c r="D215" s="20" t="inlineStr">
        <is>
          <t>Kuehlware</t>
        </is>
      </c>
      <c r="E215" s="12" t="n">
        <v>49824</v>
      </c>
      <c r="F215" s="12" t="n">
        <v>169401.6</v>
      </c>
      <c r="G215" s="12" t="n">
        <v>134.94</v>
      </c>
      <c r="H215" s="12" t="n">
        <v>103.8</v>
      </c>
      <c r="J215" s="11" t="n">
        <v>46179</v>
      </c>
      <c r="K215" s="20" t="inlineStr">
        <is>
          <t>Sued Filialen KG</t>
        </is>
      </c>
      <c r="L215" s="20" t="inlineStr">
        <is>
          <t>DE-Sued</t>
        </is>
      </c>
      <c r="M215" s="20" t="inlineStr">
        <is>
          <t>Aktionsware</t>
        </is>
      </c>
      <c r="N215" s="12" t="n">
        <v>10908</v>
      </c>
      <c r="O215" s="12" t="n">
        <v>67629.60000000001</v>
      </c>
      <c r="P215" s="12" t="n">
        <v>45.45</v>
      </c>
      <c r="Q215" s="12" t="n">
        <v>30.3</v>
      </c>
    </row>
    <row r="216">
      <c r="A216" s="11" t="n">
        <v>45816</v>
      </c>
      <c r="B216" s="20" t="inlineStr">
        <is>
          <t>Mainpunkt Handel</t>
        </is>
      </c>
      <c r="C216" s="20" t="inlineStr">
        <is>
          <t>DE-Mitte</t>
        </is>
      </c>
      <c r="D216" s="20" t="inlineStr">
        <is>
          <t>Kuehlware</t>
        </is>
      </c>
      <c r="E216" s="12" t="n">
        <v>29856</v>
      </c>
      <c r="F216" s="12" t="n">
        <v>101510.4</v>
      </c>
      <c r="G216" s="12" t="n">
        <v>80.86</v>
      </c>
      <c r="H216" s="12" t="n">
        <v>62.2</v>
      </c>
      <c r="J216" s="11" t="n">
        <v>46180</v>
      </c>
      <c r="K216" s="20" t="inlineStr">
        <is>
          <t>Mainpunkt Handel</t>
        </is>
      </c>
      <c r="L216" s="20" t="inlineStr">
        <is>
          <t>DE-Mitte</t>
        </is>
      </c>
      <c r="M216" s="20" t="inlineStr">
        <is>
          <t>Getraenke</t>
        </is>
      </c>
      <c r="N216" s="12" t="n">
        <v>236736</v>
      </c>
      <c r="O216" s="12" t="n">
        <v>224899.2</v>
      </c>
      <c r="P216" s="12" t="n">
        <v>382.23</v>
      </c>
      <c r="Q216" s="12" t="n">
        <v>246.6</v>
      </c>
    </row>
    <row r="217">
      <c r="A217" s="11" t="n">
        <v>45816</v>
      </c>
      <c r="B217" s="20" t="inlineStr">
        <is>
          <t>Sachsen Handel GmbH</t>
        </is>
      </c>
      <c r="C217" s="20" t="inlineStr">
        <is>
          <t>DE-Ost</t>
        </is>
      </c>
      <c r="D217" s="20" t="inlineStr">
        <is>
          <t>Getraenke</t>
        </is>
      </c>
      <c r="E217" s="12" t="n">
        <v>165984</v>
      </c>
      <c r="F217" s="12" t="n">
        <v>157684.8</v>
      </c>
      <c r="G217" s="12" t="n">
        <v>268</v>
      </c>
      <c r="H217" s="12" t="n">
        <v>172.9</v>
      </c>
      <c r="J217" s="11" t="n">
        <v>46182</v>
      </c>
      <c r="K217" s="20" t="inlineStr">
        <is>
          <t>Austria Markt GmbH</t>
        </is>
      </c>
      <c r="L217" s="20" t="inlineStr">
        <is>
          <t>AT</t>
        </is>
      </c>
      <c r="M217" s="20" t="inlineStr">
        <is>
          <t>Aktionsware</t>
        </is>
      </c>
      <c r="N217" s="12" t="n">
        <v>3708</v>
      </c>
      <c r="O217" s="12" t="n">
        <v>22989.6</v>
      </c>
      <c r="P217" s="12" t="n">
        <v>15.45</v>
      </c>
      <c r="Q217" s="12" t="n">
        <v>10.3</v>
      </c>
    </row>
    <row r="218">
      <c r="A218" s="11" t="n">
        <v>45817</v>
      </c>
      <c r="B218" s="20" t="inlineStr">
        <is>
          <t>Kuestenlager KG</t>
        </is>
      </c>
      <c r="C218" s="20" t="inlineStr">
        <is>
          <t>DE-Nord</t>
        </is>
      </c>
      <c r="D218" s="20" t="inlineStr">
        <is>
          <t>Getraenke</t>
        </is>
      </c>
      <c r="E218" s="12" t="n">
        <v>219264</v>
      </c>
      <c r="F218" s="12" t="n">
        <v>208300.8</v>
      </c>
      <c r="G218" s="12" t="n">
        <v>354.02</v>
      </c>
      <c r="H218" s="12" t="n">
        <v>228.4</v>
      </c>
      <c r="J218" s="11" t="n">
        <v>46182</v>
      </c>
      <c r="K218" s="20" t="inlineStr">
        <is>
          <t>Hessen Vertrieb GmbH</t>
        </is>
      </c>
      <c r="L218" s="20" t="inlineStr">
        <is>
          <t>DE-Mitte</t>
        </is>
      </c>
      <c r="M218" s="20" t="inlineStr">
        <is>
          <t>Kuehlware</t>
        </is>
      </c>
      <c r="N218" s="12" t="n">
        <v>36432</v>
      </c>
      <c r="O218" s="12" t="n">
        <v>123868.8</v>
      </c>
      <c r="P218" s="12" t="n">
        <v>98.67</v>
      </c>
      <c r="Q218" s="12" t="n">
        <v>75.90000000000001</v>
      </c>
    </row>
    <row r="219">
      <c r="A219" s="11" t="n">
        <v>45819</v>
      </c>
      <c r="B219" s="20" t="inlineStr">
        <is>
          <t>Hessen Vertrieb GmbH</t>
        </is>
      </c>
      <c r="C219" s="20" t="inlineStr">
        <is>
          <t>DE-Mitte</t>
        </is>
      </c>
      <c r="D219" s="20" t="inlineStr">
        <is>
          <t>Trockensortiment</t>
        </is>
      </c>
      <c r="E219" s="12" t="n">
        <v>91224</v>
      </c>
      <c r="F219" s="12" t="n">
        <v>168764.4</v>
      </c>
      <c r="G219" s="12" t="n">
        <v>183.72</v>
      </c>
      <c r="H219" s="12" t="n">
        <v>126.7</v>
      </c>
      <c r="J219" s="11" t="n">
        <v>46182</v>
      </c>
      <c r="K219" s="20" t="inlineStr">
        <is>
          <t>Nordmarkt AG</t>
        </is>
      </c>
      <c r="L219" s="20" t="inlineStr">
        <is>
          <t>DE-Nord</t>
        </is>
      </c>
      <c r="M219" s="20" t="inlineStr">
        <is>
          <t>Aktionsware</t>
        </is>
      </c>
      <c r="N219" s="12" t="n">
        <v>8748</v>
      </c>
      <c r="O219" s="12" t="n">
        <v>54237.6</v>
      </c>
      <c r="P219" s="12" t="n">
        <v>36.45</v>
      </c>
      <c r="Q219" s="12" t="n">
        <v>24.3</v>
      </c>
    </row>
    <row r="220">
      <c r="A220" s="11" t="n">
        <v>45819</v>
      </c>
      <c r="B220" s="20" t="inlineStr">
        <is>
          <t>Alpenmarkt GmbH</t>
        </is>
      </c>
      <c r="C220" s="20" t="inlineStr">
        <is>
          <t>DE-Sued</t>
        </is>
      </c>
      <c r="D220" s="20" t="inlineStr">
        <is>
          <t>Kuehlware</t>
        </is>
      </c>
      <c r="E220" s="12" t="n">
        <v>39744</v>
      </c>
      <c r="F220" s="12" t="n">
        <v>135129.6</v>
      </c>
      <c r="G220" s="12" t="n">
        <v>107.64</v>
      </c>
      <c r="H220" s="12" t="n">
        <v>82.8</v>
      </c>
      <c r="J220" s="11" t="n">
        <v>46182</v>
      </c>
      <c r="K220" s="20" t="inlineStr">
        <is>
          <t>Alpenmarkt GmbH</t>
        </is>
      </c>
      <c r="L220" s="20" t="inlineStr">
        <is>
          <t>DE-Sued</t>
        </is>
      </c>
      <c r="M220" s="20" t="inlineStr">
        <is>
          <t>Non-Food</t>
        </is>
      </c>
      <c r="N220" s="12" t="n">
        <v>12024</v>
      </c>
      <c r="O220" s="12" t="n">
        <v>150300</v>
      </c>
      <c r="P220" s="12" t="n">
        <v>80.16</v>
      </c>
      <c r="Q220" s="12" t="n">
        <v>50.1</v>
      </c>
    </row>
    <row r="221">
      <c r="A221" s="11" t="n">
        <v>45819</v>
      </c>
      <c r="B221" s="20" t="inlineStr">
        <is>
          <t>Odra Handel Sp.</t>
        </is>
      </c>
      <c r="C221" s="20" t="inlineStr">
        <is>
          <t>PL</t>
        </is>
      </c>
      <c r="D221" s="20" t="inlineStr">
        <is>
          <t>Trockensortiment</t>
        </is>
      </c>
      <c r="E221" s="12" t="n">
        <v>25776</v>
      </c>
      <c r="F221" s="12" t="n">
        <v>47685.6</v>
      </c>
      <c r="G221" s="12" t="n">
        <v>51.91</v>
      </c>
      <c r="H221" s="12" t="n">
        <v>35.8</v>
      </c>
      <c r="J221" s="11" t="n">
        <v>46183</v>
      </c>
      <c r="K221" s="20" t="inlineStr">
        <is>
          <t>Delta Foods BV</t>
        </is>
      </c>
      <c r="L221" s="20" t="inlineStr">
        <is>
          <t>NL</t>
        </is>
      </c>
      <c r="M221" s="20" t="inlineStr">
        <is>
          <t>Aktionsware</t>
        </is>
      </c>
      <c r="N221" s="12" t="n">
        <v>3528</v>
      </c>
      <c r="O221" s="12" t="n">
        <v>21873.6</v>
      </c>
      <c r="P221" s="12" t="n">
        <v>14.7</v>
      </c>
      <c r="Q221" s="12" t="n">
        <v>9.800000000000001</v>
      </c>
    </row>
    <row r="222">
      <c r="A222" s="11" t="n">
        <v>45820</v>
      </c>
      <c r="B222" s="20" t="inlineStr">
        <is>
          <t>Tirol Handel AG</t>
        </is>
      </c>
      <c r="C222" s="20" t="inlineStr">
        <is>
          <t>AT</t>
        </is>
      </c>
      <c r="D222" s="20" t="inlineStr">
        <is>
          <t>Kuehlware</t>
        </is>
      </c>
      <c r="E222" s="12" t="n">
        <v>12480</v>
      </c>
      <c r="F222" s="12" t="n">
        <v>42432</v>
      </c>
      <c r="G222" s="12" t="n">
        <v>33.8</v>
      </c>
      <c r="H222" s="12" t="n">
        <v>26</v>
      </c>
      <c r="J222" s="11" t="n">
        <v>46183</v>
      </c>
      <c r="K222" s="20" t="inlineStr">
        <is>
          <t>Delta Foods BV</t>
        </is>
      </c>
      <c r="L222" s="20" t="inlineStr">
        <is>
          <t>NL</t>
        </is>
      </c>
      <c r="M222" s="20" t="inlineStr">
        <is>
          <t>Getraenke</t>
        </is>
      </c>
      <c r="N222" s="12" t="n">
        <v>81408</v>
      </c>
      <c r="O222" s="12" t="n">
        <v>77337.60000000001</v>
      </c>
      <c r="P222" s="12" t="n">
        <v>131.44</v>
      </c>
      <c r="Q222" s="12" t="n">
        <v>84.8</v>
      </c>
    </row>
    <row r="223">
      <c r="A223" s="11" t="n">
        <v>45820</v>
      </c>
      <c r="B223" s="20" t="inlineStr">
        <is>
          <t>Tirol Handel AG</t>
        </is>
      </c>
      <c r="C223" s="20" t="inlineStr">
        <is>
          <t>AT</t>
        </is>
      </c>
      <c r="D223" s="20" t="inlineStr">
        <is>
          <t>Non-Food</t>
        </is>
      </c>
      <c r="E223" s="12" t="n">
        <v>4728</v>
      </c>
      <c r="F223" s="12" t="n">
        <v>59100</v>
      </c>
      <c r="G223" s="12" t="n">
        <v>31.52</v>
      </c>
      <c r="H223" s="12" t="n">
        <v>19.7</v>
      </c>
      <c r="J223" s="11" t="n">
        <v>46183</v>
      </c>
      <c r="K223" s="20" t="inlineStr">
        <is>
          <t>Wisla Retail Sp.</t>
        </is>
      </c>
      <c r="L223" s="20" t="inlineStr">
        <is>
          <t>PL</t>
        </is>
      </c>
      <c r="M223" s="20" t="inlineStr">
        <is>
          <t>Trockensortiment</t>
        </is>
      </c>
      <c r="N223" s="12" t="n">
        <v>26928</v>
      </c>
      <c r="O223" s="12" t="n">
        <v>49816.8</v>
      </c>
      <c r="P223" s="12" t="n">
        <v>54.23</v>
      </c>
      <c r="Q223" s="12" t="n">
        <v>37.4</v>
      </c>
    </row>
    <row r="224">
      <c r="A224" s="11" t="n">
        <v>45820</v>
      </c>
      <c r="B224" s="20" t="inlineStr">
        <is>
          <t>Delta Foods BV</t>
        </is>
      </c>
      <c r="C224" s="20" t="inlineStr">
        <is>
          <t>NL</t>
        </is>
      </c>
      <c r="D224" s="20" t="inlineStr">
        <is>
          <t>Getraenke</t>
        </is>
      </c>
      <c r="E224" s="12" t="n">
        <v>74880</v>
      </c>
      <c r="F224" s="12" t="n">
        <v>71136</v>
      </c>
      <c r="G224" s="12" t="n">
        <v>120.9</v>
      </c>
      <c r="H224" s="12" t="n">
        <v>78</v>
      </c>
      <c r="J224" s="11" t="n">
        <v>46184</v>
      </c>
      <c r="K224" s="20" t="inlineStr">
        <is>
          <t>Donau Handel AG</t>
        </is>
      </c>
      <c r="L224" s="20" t="inlineStr">
        <is>
          <t>DE-Sued</t>
        </is>
      </c>
      <c r="M224" s="20" t="inlineStr">
        <is>
          <t>Kuehlware</t>
        </is>
      </c>
      <c r="N224" s="12" t="n">
        <v>49680</v>
      </c>
      <c r="O224" s="12" t="n">
        <v>168912</v>
      </c>
      <c r="P224" s="12" t="n">
        <v>134.55</v>
      </c>
      <c r="Q224" s="12" t="n">
        <v>103.5</v>
      </c>
    </row>
    <row r="225">
      <c r="A225" s="11" t="n">
        <v>45821</v>
      </c>
      <c r="B225" s="20" t="inlineStr">
        <is>
          <t>Ruhr Frische GmbH</t>
        </is>
      </c>
      <c r="C225" s="20" t="inlineStr">
        <is>
          <t>DE-West</t>
        </is>
      </c>
      <c r="D225" s="20" t="inlineStr">
        <is>
          <t>Aktionsware</t>
        </is>
      </c>
      <c r="E225" s="12" t="n">
        <v>10332</v>
      </c>
      <c r="F225" s="12" t="n">
        <v>64058.4</v>
      </c>
      <c r="G225" s="12" t="n">
        <v>43.05</v>
      </c>
      <c r="H225" s="12" t="n">
        <v>28.7</v>
      </c>
      <c r="J225" s="11" t="n">
        <v>46184</v>
      </c>
      <c r="K225" s="20" t="inlineStr">
        <is>
          <t>Wisla Retail Sp.</t>
        </is>
      </c>
      <c r="L225" s="20" t="inlineStr">
        <is>
          <t>PL</t>
        </is>
      </c>
      <c r="M225" s="20" t="inlineStr">
        <is>
          <t>Getraenke</t>
        </is>
      </c>
      <c r="N225" s="12" t="n">
        <v>58656</v>
      </c>
      <c r="O225" s="12" t="n">
        <v>55723.2</v>
      </c>
      <c r="P225" s="12" t="n">
        <v>94.7</v>
      </c>
      <c r="Q225" s="12" t="n">
        <v>61.1</v>
      </c>
    </row>
    <row r="226">
      <c r="A226" s="11" t="n">
        <v>45822</v>
      </c>
      <c r="B226" s="20" t="inlineStr">
        <is>
          <t>Kuestenlager KG</t>
        </is>
      </c>
      <c r="C226" s="20" t="inlineStr">
        <is>
          <t>DE-Nord</t>
        </is>
      </c>
      <c r="D226" s="20" t="inlineStr">
        <is>
          <t>Non-Food</t>
        </is>
      </c>
      <c r="E226" s="12" t="n">
        <v>10008</v>
      </c>
      <c r="F226" s="12" t="n">
        <v>125100</v>
      </c>
      <c r="G226" s="12" t="n">
        <v>66.72</v>
      </c>
      <c r="H226" s="12" t="n">
        <v>41.7</v>
      </c>
      <c r="J226" s="11" t="n">
        <v>46185</v>
      </c>
      <c r="K226" s="20" t="inlineStr">
        <is>
          <t>Tirol Handel AG</t>
        </is>
      </c>
      <c r="L226" s="20" t="inlineStr">
        <is>
          <t>AT</t>
        </is>
      </c>
      <c r="M226" s="20" t="inlineStr">
        <is>
          <t>Getraenke</t>
        </is>
      </c>
      <c r="N226" s="12" t="n">
        <v>90624</v>
      </c>
      <c r="O226" s="12" t="n">
        <v>86092.8</v>
      </c>
      <c r="P226" s="12" t="n">
        <v>146.32</v>
      </c>
      <c r="Q226" s="12" t="n">
        <v>94.40000000000001</v>
      </c>
    </row>
    <row r="227">
      <c r="A227" s="11" t="n">
        <v>45822</v>
      </c>
      <c r="B227" s="20" t="inlineStr">
        <is>
          <t>Spree Markt AG</t>
        </is>
      </c>
      <c r="C227" s="20" t="inlineStr">
        <is>
          <t>DE-Ost</t>
        </is>
      </c>
      <c r="D227" s="20" t="inlineStr">
        <is>
          <t>Non-Food</t>
        </is>
      </c>
      <c r="E227" s="12" t="n">
        <v>7128</v>
      </c>
      <c r="F227" s="12" t="n">
        <v>89100</v>
      </c>
      <c r="G227" s="12" t="n">
        <v>47.52</v>
      </c>
      <c r="H227" s="12" t="n">
        <v>29.7</v>
      </c>
      <c r="J227" s="11" t="n">
        <v>46186</v>
      </c>
      <c r="K227" s="20" t="inlineStr">
        <is>
          <t>Odra Handel Sp.</t>
        </is>
      </c>
      <c r="L227" s="20" t="inlineStr">
        <is>
          <t>PL</t>
        </is>
      </c>
      <c r="M227" s="20" t="inlineStr">
        <is>
          <t>Non-Food</t>
        </is>
      </c>
      <c r="N227" s="12" t="n">
        <v>13464</v>
      </c>
      <c r="O227" s="12" t="n">
        <v>168300</v>
      </c>
      <c r="P227" s="12" t="n">
        <v>89.76000000000001</v>
      </c>
      <c r="Q227" s="12" t="n">
        <v>56.1</v>
      </c>
    </row>
    <row r="228">
      <c r="A228" s="11" t="n">
        <v>45823</v>
      </c>
      <c r="B228" s="20" t="inlineStr">
        <is>
          <t>Sued Filialen KG</t>
        </is>
      </c>
      <c r="C228" s="20" t="inlineStr">
        <is>
          <t>DE-Sued</t>
        </is>
      </c>
      <c r="D228" s="20" t="inlineStr">
        <is>
          <t>Trockensortiment</t>
        </is>
      </c>
      <c r="E228" s="12" t="n">
        <v>112248</v>
      </c>
      <c r="F228" s="12" t="n">
        <v>207658.8</v>
      </c>
      <c r="G228" s="12" t="n">
        <v>226.06</v>
      </c>
      <c r="H228" s="12" t="n">
        <v>155.9</v>
      </c>
      <c r="J228" s="11" t="n">
        <v>46187</v>
      </c>
      <c r="K228" s="20" t="inlineStr">
        <is>
          <t>Kuestenlager KG</t>
        </is>
      </c>
      <c r="L228" s="20" t="inlineStr">
        <is>
          <t>DE-Nord</t>
        </is>
      </c>
      <c r="M228" s="20" t="inlineStr">
        <is>
          <t>Trockensortiment</t>
        </is>
      </c>
      <c r="N228" s="12" t="n">
        <v>140112</v>
      </c>
      <c r="O228" s="12" t="n">
        <v>259207.2</v>
      </c>
      <c r="P228" s="12" t="n">
        <v>282.17</v>
      </c>
      <c r="Q228" s="12" t="n">
        <v>194.6</v>
      </c>
    </row>
    <row r="229">
      <c r="A229" s="11" t="n">
        <v>45823</v>
      </c>
      <c r="B229" s="20" t="inlineStr">
        <is>
          <t>Westfilial AG</t>
        </is>
      </c>
      <c r="C229" s="20" t="inlineStr">
        <is>
          <t>DE-West</t>
        </is>
      </c>
      <c r="D229" s="20" t="inlineStr">
        <is>
          <t>Trockensortiment</t>
        </is>
      </c>
      <c r="E229" s="12" t="n">
        <v>158616</v>
      </c>
      <c r="F229" s="12" t="n">
        <v>293439.6</v>
      </c>
      <c r="G229" s="12" t="n">
        <v>319.44</v>
      </c>
      <c r="H229" s="12" t="n">
        <v>220.3</v>
      </c>
      <c r="J229" s="11" t="n">
        <v>46187</v>
      </c>
      <c r="K229" s="20" t="inlineStr">
        <is>
          <t>Rheinland Retail SE</t>
        </is>
      </c>
      <c r="L229" s="20" t="inlineStr">
        <is>
          <t>DE-West</t>
        </is>
      </c>
      <c r="M229" s="20" t="inlineStr">
        <is>
          <t>Kuehlware</t>
        </is>
      </c>
      <c r="N229" s="12" t="n">
        <v>52800</v>
      </c>
      <c r="O229" s="12" t="n">
        <v>179520</v>
      </c>
      <c r="P229" s="12" t="n">
        <v>143</v>
      </c>
      <c r="Q229" s="12" t="n">
        <v>110</v>
      </c>
    </row>
    <row r="230">
      <c r="A230" s="11" t="n">
        <v>45823</v>
      </c>
      <c r="B230" s="20" t="inlineStr">
        <is>
          <t>Wisla Retail Sp.</t>
        </is>
      </c>
      <c r="C230" s="20" t="inlineStr">
        <is>
          <t>PL</t>
        </is>
      </c>
      <c r="D230" s="20" t="inlineStr">
        <is>
          <t>Kuehlware</t>
        </is>
      </c>
      <c r="E230" s="12" t="n">
        <v>8064</v>
      </c>
      <c r="F230" s="12" t="n">
        <v>27417.6</v>
      </c>
      <c r="G230" s="12" t="n">
        <v>21.84</v>
      </c>
      <c r="H230" s="12" t="n">
        <v>16.8</v>
      </c>
      <c r="J230" s="11" t="n">
        <v>46189</v>
      </c>
      <c r="K230" s="20" t="inlineStr">
        <is>
          <t>Westfilial AG</t>
        </is>
      </c>
      <c r="L230" s="20" t="inlineStr">
        <is>
          <t>DE-West</t>
        </is>
      </c>
      <c r="M230" s="20" t="inlineStr">
        <is>
          <t>Getraenke</t>
        </is>
      </c>
      <c r="N230" s="12" t="n">
        <v>333504</v>
      </c>
      <c r="O230" s="12" t="n">
        <v>316828.8</v>
      </c>
      <c r="P230" s="12" t="n">
        <v>538.47</v>
      </c>
      <c r="Q230" s="12" t="n">
        <v>347.4</v>
      </c>
    </row>
    <row r="231">
      <c r="A231" s="11" t="n">
        <v>45824</v>
      </c>
      <c r="B231" s="20" t="inlineStr">
        <is>
          <t>Elbe Handel GmbH</t>
        </is>
      </c>
      <c r="C231" s="20" t="inlineStr">
        <is>
          <t>DE-Nord</t>
        </is>
      </c>
      <c r="D231" s="20" t="inlineStr">
        <is>
          <t>Aktionsware</t>
        </is>
      </c>
      <c r="E231" s="12" t="n">
        <v>6588</v>
      </c>
      <c r="F231" s="12" t="n">
        <v>40845.6</v>
      </c>
      <c r="G231" s="12" t="n">
        <v>27.45</v>
      </c>
      <c r="H231" s="12" t="n">
        <v>18.3</v>
      </c>
      <c r="J231" s="11" t="n">
        <v>46189</v>
      </c>
      <c r="K231" s="20" t="inlineStr">
        <is>
          <t>Randstad Retail BV</t>
        </is>
      </c>
      <c r="L231" s="20" t="inlineStr">
        <is>
          <t>NL</t>
        </is>
      </c>
      <c r="M231" s="20" t="inlineStr">
        <is>
          <t>Trockensortiment</t>
        </is>
      </c>
      <c r="N231" s="12" t="n">
        <v>51408</v>
      </c>
      <c r="O231" s="12" t="n">
        <v>95104.8</v>
      </c>
      <c r="P231" s="12" t="n">
        <v>103.53</v>
      </c>
      <c r="Q231" s="12" t="n">
        <v>71.40000000000001</v>
      </c>
    </row>
    <row r="232">
      <c r="A232" s="11" t="n">
        <v>45825</v>
      </c>
      <c r="B232" s="20" t="inlineStr">
        <is>
          <t>Westfilial AG</t>
        </is>
      </c>
      <c r="C232" s="20" t="inlineStr">
        <is>
          <t>DE-West</t>
        </is>
      </c>
      <c r="D232" s="20" t="inlineStr">
        <is>
          <t>Getraenke</t>
        </is>
      </c>
      <c r="E232" s="12" t="n">
        <v>303840</v>
      </c>
      <c r="F232" s="12" t="n">
        <v>288648</v>
      </c>
      <c r="G232" s="12" t="n">
        <v>490.57</v>
      </c>
      <c r="H232" s="12" t="n">
        <v>316.5</v>
      </c>
      <c r="J232" s="11" t="n">
        <v>46190</v>
      </c>
      <c r="K232" s="20" t="inlineStr">
        <is>
          <t>Spree Markt AG</t>
        </is>
      </c>
      <c r="L232" s="20" t="inlineStr">
        <is>
          <t>DE-Ost</t>
        </is>
      </c>
      <c r="M232" s="20" t="inlineStr">
        <is>
          <t>Getraenke</t>
        </is>
      </c>
      <c r="N232" s="12" t="n">
        <v>162432</v>
      </c>
      <c r="O232" s="12" t="n">
        <v>154310.4</v>
      </c>
      <c r="P232" s="12" t="n">
        <v>262.26</v>
      </c>
      <c r="Q232" s="12" t="n">
        <v>169.2</v>
      </c>
    </row>
    <row r="233">
      <c r="A233" s="11" t="n">
        <v>45825</v>
      </c>
      <c r="B233" s="20" t="inlineStr">
        <is>
          <t>Odra Handel Sp.</t>
        </is>
      </c>
      <c r="C233" s="20" t="inlineStr">
        <is>
          <t>PL</t>
        </is>
      </c>
      <c r="D233" s="20" t="inlineStr">
        <is>
          <t>Non-Food</t>
        </is>
      </c>
      <c r="E233" s="12" t="n">
        <v>12048</v>
      </c>
      <c r="F233" s="12" t="n">
        <v>150600</v>
      </c>
      <c r="G233" s="12" t="n">
        <v>80.31999999999999</v>
      </c>
      <c r="H233" s="12" t="n">
        <v>50.2</v>
      </c>
      <c r="J233" s="11" t="n">
        <v>46190</v>
      </c>
      <c r="K233" s="20" t="inlineStr">
        <is>
          <t>Sachsen Handel GmbH</t>
        </is>
      </c>
      <c r="L233" s="20" t="inlineStr">
        <is>
          <t>DE-Ost</t>
        </is>
      </c>
      <c r="M233" s="20" t="inlineStr">
        <is>
          <t>Kuehlware</t>
        </is>
      </c>
      <c r="N233" s="12" t="n">
        <v>31488</v>
      </c>
      <c r="O233" s="12" t="n">
        <v>107059.2</v>
      </c>
      <c r="P233" s="12" t="n">
        <v>85.28</v>
      </c>
      <c r="Q233" s="12" t="n">
        <v>65.59999999999999</v>
      </c>
    </row>
    <row r="234">
      <c r="A234" s="11" t="n">
        <v>45826</v>
      </c>
      <c r="B234" s="20" t="inlineStr">
        <is>
          <t>Wisla Retail Sp.</t>
        </is>
      </c>
      <c r="C234" s="20" t="inlineStr">
        <is>
          <t>PL</t>
        </is>
      </c>
      <c r="D234" s="20" t="inlineStr">
        <is>
          <t>Aktionsware</t>
        </is>
      </c>
      <c r="E234" s="12" t="n">
        <v>14760</v>
      </c>
      <c r="F234" s="12" t="n">
        <v>91512</v>
      </c>
      <c r="G234" s="12" t="n">
        <v>61.5</v>
      </c>
      <c r="H234" s="12" t="n">
        <v>41</v>
      </c>
      <c r="J234" s="11" t="n">
        <v>46190</v>
      </c>
      <c r="K234" s="20" t="inlineStr">
        <is>
          <t>Ruhr Frische GmbH</t>
        </is>
      </c>
      <c r="L234" s="20" t="inlineStr">
        <is>
          <t>DE-West</t>
        </is>
      </c>
      <c r="M234" s="20" t="inlineStr">
        <is>
          <t>Non-Food</t>
        </is>
      </c>
      <c r="N234" s="12" t="n">
        <v>16008</v>
      </c>
      <c r="O234" s="12" t="n">
        <v>200100</v>
      </c>
      <c r="P234" s="12" t="n">
        <v>106.72</v>
      </c>
      <c r="Q234" s="12" t="n">
        <v>66.7</v>
      </c>
    </row>
    <row r="235">
      <c r="A235" s="11" t="n">
        <v>45827</v>
      </c>
      <c r="B235" s="20" t="inlineStr">
        <is>
          <t>Sued Filialen KG</t>
        </is>
      </c>
      <c r="C235" s="20" t="inlineStr">
        <is>
          <t>DE-Sued</t>
        </is>
      </c>
      <c r="D235" s="20" t="inlineStr">
        <is>
          <t>Non-Food</t>
        </is>
      </c>
      <c r="E235" s="12" t="n">
        <v>10776</v>
      </c>
      <c r="F235" s="12" t="n">
        <v>134700</v>
      </c>
      <c r="G235" s="12" t="n">
        <v>71.84</v>
      </c>
      <c r="H235" s="12" t="n">
        <v>44.9</v>
      </c>
      <c r="J235" s="11" t="n">
        <v>46193</v>
      </c>
      <c r="K235" s="20" t="inlineStr">
        <is>
          <t>Odra Handel Sp.</t>
        </is>
      </c>
      <c r="L235" s="20" t="inlineStr">
        <is>
          <t>PL</t>
        </is>
      </c>
      <c r="M235" s="20" t="inlineStr">
        <is>
          <t>Kuehlware</t>
        </is>
      </c>
      <c r="N235" s="12" t="n">
        <v>7248</v>
      </c>
      <c r="O235" s="12" t="n">
        <v>24643.2</v>
      </c>
      <c r="P235" s="12" t="n">
        <v>19.63</v>
      </c>
      <c r="Q235" s="12" t="n">
        <v>15.1</v>
      </c>
    </row>
    <row r="236">
      <c r="A236" s="11" t="n">
        <v>45827</v>
      </c>
      <c r="B236" s="20" t="inlineStr">
        <is>
          <t>Rheinland Retail SE</t>
        </is>
      </c>
      <c r="C236" s="20" t="inlineStr">
        <is>
          <t>DE-West</t>
        </is>
      </c>
      <c r="D236" s="20" t="inlineStr">
        <is>
          <t>Non-Food</t>
        </is>
      </c>
      <c r="E236" s="12" t="n">
        <v>15360</v>
      </c>
      <c r="F236" s="12" t="n">
        <v>192000</v>
      </c>
      <c r="G236" s="12" t="n">
        <v>102.4</v>
      </c>
      <c r="H236" s="12" t="n">
        <v>64</v>
      </c>
      <c r="J236" s="11" t="n">
        <v>46194</v>
      </c>
      <c r="K236" s="20" t="inlineStr">
        <is>
          <t>Mainpunkt Handel</t>
        </is>
      </c>
      <c r="L236" s="20" t="inlineStr">
        <is>
          <t>DE-Mitte</t>
        </is>
      </c>
      <c r="M236" s="20" t="inlineStr">
        <is>
          <t>Aktionsware</t>
        </is>
      </c>
      <c r="N236" s="12" t="n">
        <v>7128</v>
      </c>
      <c r="O236" s="12" t="n">
        <v>44193.6</v>
      </c>
      <c r="P236" s="12" t="n">
        <v>29.7</v>
      </c>
      <c r="Q236" s="12" t="n">
        <v>19.8</v>
      </c>
    </row>
    <row r="237">
      <c r="A237" s="11" t="n">
        <v>45830</v>
      </c>
      <c r="B237" s="20" t="inlineStr">
        <is>
          <t>Spree Markt AG</t>
        </is>
      </c>
      <c r="C237" s="20" t="inlineStr">
        <is>
          <t>DE-Ost</t>
        </is>
      </c>
      <c r="D237" s="20" t="inlineStr">
        <is>
          <t>Aktionsware</t>
        </is>
      </c>
      <c r="E237" s="12" t="n">
        <v>6372</v>
      </c>
      <c r="F237" s="12" t="n">
        <v>39506.4</v>
      </c>
      <c r="G237" s="12" t="n">
        <v>26.55</v>
      </c>
      <c r="H237" s="12" t="n">
        <v>17.7</v>
      </c>
      <c r="J237" s="11" t="n">
        <v>46194</v>
      </c>
      <c r="K237" s="20" t="inlineStr">
        <is>
          <t>Mainpunkt Handel</t>
        </is>
      </c>
      <c r="L237" s="20" t="inlineStr">
        <is>
          <t>DE-Mitte</t>
        </is>
      </c>
      <c r="M237" s="20" t="inlineStr">
        <is>
          <t>Non-Food</t>
        </is>
      </c>
      <c r="N237" s="12" t="n">
        <v>10560</v>
      </c>
      <c r="O237" s="12" t="n">
        <v>132000</v>
      </c>
      <c r="P237" s="12" t="n">
        <v>70.40000000000001</v>
      </c>
      <c r="Q237" s="12" t="n">
        <v>44</v>
      </c>
    </row>
    <row r="238">
      <c r="A238" s="11" t="n">
        <v>45830</v>
      </c>
      <c r="B238" s="20" t="inlineStr">
        <is>
          <t>Westfilial AG</t>
        </is>
      </c>
      <c r="C238" s="20" t="inlineStr">
        <is>
          <t>DE-West</t>
        </is>
      </c>
      <c r="D238" s="20" t="inlineStr">
        <is>
          <t>Kuehlware</t>
        </is>
      </c>
      <c r="E238" s="12" t="n">
        <v>57312</v>
      </c>
      <c r="F238" s="12" t="n">
        <v>194860.8</v>
      </c>
      <c r="G238" s="12" t="n">
        <v>155.22</v>
      </c>
      <c r="H238" s="12" t="n">
        <v>119.4</v>
      </c>
      <c r="J238" s="11" t="n">
        <v>46194</v>
      </c>
      <c r="K238" s="20" t="inlineStr">
        <is>
          <t>Elbe Handel GmbH</t>
        </is>
      </c>
      <c r="L238" s="20" t="inlineStr">
        <is>
          <t>DE-Nord</t>
        </is>
      </c>
      <c r="M238" s="20" t="inlineStr">
        <is>
          <t>Non-Food</t>
        </is>
      </c>
      <c r="N238" s="12" t="n">
        <v>12312</v>
      </c>
      <c r="O238" s="12" t="n">
        <v>153900</v>
      </c>
      <c r="P238" s="12" t="n">
        <v>82.08</v>
      </c>
      <c r="Q238" s="12" t="n">
        <v>51.3</v>
      </c>
    </row>
    <row r="239">
      <c r="A239" s="11" t="n">
        <v>45831</v>
      </c>
      <c r="B239" s="20" t="inlineStr">
        <is>
          <t>Hessen Vertrieb GmbH</t>
        </is>
      </c>
      <c r="C239" s="20" t="inlineStr">
        <is>
          <t>DE-Mitte</t>
        </is>
      </c>
      <c r="D239" s="20" t="inlineStr">
        <is>
          <t>Non-Food</t>
        </is>
      </c>
      <c r="E239" s="12" t="n">
        <v>10008</v>
      </c>
      <c r="F239" s="12" t="n">
        <v>125100</v>
      </c>
      <c r="G239" s="12" t="n">
        <v>66.72</v>
      </c>
      <c r="H239" s="12" t="n">
        <v>41.7</v>
      </c>
      <c r="J239" s="11" t="n">
        <v>46194</v>
      </c>
      <c r="K239" s="20" t="inlineStr">
        <is>
          <t>Westfilial AG</t>
        </is>
      </c>
      <c r="L239" s="20" t="inlineStr">
        <is>
          <t>DE-West</t>
        </is>
      </c>
      <c r="M239" s="20" t="inlineStr">
        <is>
          <t>Trockensortiment</t>
        </is>
      </c>
      <c r="N239" s="12" t="n">
        <v>184752</v>
      </c>
      <c r="O239" s="12" t="n">
        <v>341791.2</v>
      </c>
      <c r="P239" s="12" t="n">
        <v>372.07</v>
      </c>
      <c r="Q239" s="12" t="n">
        <v>256.6</v>
      </c>
    </row>
    <row r="240">
      <c r="A240" s="11" t="n">
        <v>45832</v>
      </c>
      <c r="B240" s="20" t="inlineStr">
        <is>
          <t>Tirol Handel AG</t>
        </is>
      </c>
      <c r="C240" s="20" t="inlineStr">
        <is>
          <t>AT</t>
        </is>
      </c>
      <c r="D240" s="20" t="inlineStr">
        <is>
          <t>Trockensortiment</t>
        </is>
      </c>
      <c r="E240" s="12" t="n">
        <v>33696</v>
      </c>
      <c r="F240" s="12" t="n">
        <v>62337.6</v>
      </c>
      <c r="G240" s="12" t="n">
        <v>67.86</v>
      </c>
      <c r="H240" s="12" t="n">
        <v>46.8</v>
      </c>
      <c r="J240" s="11" t="n">
        <v>46196</v>
      </c>
      <c r="K240" s="20" t="inlineStr">
        <is>
          <t>Alpenmarkt GmbH</t>
        </is>
      </c>
      <c r="L240" s="20" t="inlineStr">
        <is>
          <t>DE-Sued</t>
        </is>
      </c>
      <c r="M240" s="20" t="inlineStr">
        <is>
          <t>Trockensortiment</t>
        </is>
      </c>
      <c r="N240" s="12" t="n">
        <v>148896</v>
      </c>
      <c r="O240" s="12" t="n">
        <v>275457.6</v>
      </c>
      <c r="P240" s="12" t="n">
        <v>299.86</v>
      </c>
      <c r="Q240" s="12" t="n">
        <v>206.8</v>
      </c>
    </row>
    <row r="241">
      <c r="A241" s="11" t="n">
        <v>45832</v>
      </c>
      <c r="B241" s="20" t="inlineStr">
        <is>
          <t>Sachsen Handel GmbH</t>
        </is>
      </c>
      <c r="C241" s="20" t="inlineStr">
        <is>
          <t>DE-Ost</t>
        </is>
      </c>
      <c r="D241" s="20" t="inlineStr">
        <is>
          <t>Trockensortiment</t>
        </is>
      </c>
      <c r="E241" s="12" t="n">
        <v>65880</v>
      </c>
      <c r="F241" s="12" t="n">
        <v>121878</v>
      </c>
      <c r="G241" s="12" t="n">
        <v>132.67</v>
      </c>
      <c r="H241" s="12" t="n">
        <v>91.5</v>
      </c>
      <c r="J241" s="11" t="n">
        <v>46196</v>
      </c>
      <c r="K241" s="20" t="inlineStr">
        <is>
          <t>Delta Foods BV</t>
        </is>
      </c>
      <c r="L241" s="20" t="inlineStr">
        <is>
          <t>NL</t>
        </is>
      </c>
      <c r="M241" s="20" t="inlineStr">
        <is>
          <t>Kuehlware</t>
        </is>
      </c>
      <c r="N241" s="12" t="n">
        <v>23712</v>
      </c>
      <c r="O241" s="12" t="n">
        <v>80620.8</v>
      </c>
      <c r="P241" s="12" t="n">
        <v>64.22</v>
      </c>
      <c r="Q241" s="12" t="n">
        <v>49.4</v>
      </c>
    </row>
    <row r="242">
      <c r="A242" s="11" t="n">
        <v>45832</v>
      </c>
      <c r="B242" s="20" t="inlineStr">
        <is>
          <t>Donau Handel AG</t>
        </is>
      </c>
      <c r="C242" s="20" t="inlineStr">
        <is>
          <t>DE-Sued</t>
        </is>
      </c>
      <c r="D242" s="20" t="inlineStr">
        <is>
          <t>Aktionsware</t>
        </is>
      </c>
      <c r="E242" s="12" t="n">
        <v>10224</v>
      </c>
      <c r="F242" s="12" t="n">
        <v>63388.8</v>
      </c>
      <c r="G242" s="12" t="n">
        <v>42.6</v>
      </c>
      <c r="H242" s="12" t="n">
        <v>28.4</v>
      </c>
      <c r="J242" s="11" t="n">
        <v>46196</v>
      </c>
      <c r="K242" s="20" t="inlineStr">
        <is>
          <t>Wisla Retail Sp.</t>
        </is>
      </c>
      <c r="L242" s="20" t="inlineStr">
        <is>
          <t>PL</t>
        </is>
      </c>
      <c r="M242" s="20" t="inlineStr">
        <is>
          <t>Aktionsware</t>
        </is>
      </c>
      <c r="N242" s="12" t="n">
        <v>13608</v>
      </c>
      <c r="O242" s="12" t="n">
        <v>84369.60000000001</v>
      </c>
      <c r="P242" s="12" t="n">
        <v>56.7</v>
      </c>
      <c r="Q242" s="12" t="n">
        <v>37.8</v>
      </c>
    </row>
    <row r="243">
      <c r="A243" s="11" t="n">
        <v>45832</v>
      </c>
      <c r="B243" s="20" t="inlineStr">
        <is>
          <t>Odra Handel Sp.</t>
        </is>
      </c>
      <c r="C243" s="20" t="inlineStr">
        <is>
          <t>PL</t>
        </is>
      </c>
      <c r="D243" s="20" t="inlineStr">
        <is>
          <t>Getraenke</t>
        </is>
      </c>
      <c r="E243" s="12" t="n">
        <v>62208</v>
      </c>
      <c r="F243" s="12" t="n">
        <v>59097.6</v>
      </c>
      <c r="G243" s="12" t="n">
        <v>100.44</v>
      </c>
      <c r="H243" s="12" t="n">
        <v>64.8</v>
      </c>
      <c r="J243" s="11" t="n">
        <v>46197</v>
      </c>
      <c r="K243" s="20" t="inlineStr">
        <is>
          <t>Austria Markt GmbH</t>
        </is>
      </c>
      <c r="L243" s="20" t="inlineStr">
        <is>
          <t>AT</t>
        </is>
      </c>
      <c r="M243" s="20" t="inlineStr">
        <is>
          <t>Kuehlware</t>
        </is>
      </c>
      <c r="N243" s="12" t="n">
        <v>14112</v>
      </c>
      <c r="O243" s="12" t="n">
        <v>47980.8</v>
      </c>
      <c r="P243" s="12" t="n">
        <v>38.22</v>
      </c>
      <c r="Q243" s="12" t="n">
        <v>29.4</v>
      </c>
    </row>
    <row r="244">
      <c r="A244" s="11" t="n">
        <v>45833</v>
      </c>
      <c r="B244" s="20" t="inlineStr">
        <is>
          <t>Alpenmarkt GmbH</t>
        </is>
      </c>
      <c r="C244" s="20" t="inlineStr">
        <is>
          <t>DE-Sued</t>
        </is>
      </c>
      <c r="D244" s="20" t="inlineStr">
        <is>
          <t>Getraenke</t>
        </is>
      </c>
      <c r="E244" s="12" t="n">
        <v>288192</v>
      </c>
      <c r="F244" s="12" t="n">
        <v>273782.4</v>
      </c>
      <c r="G244" s="12" t="n">
        <v>465.31</v>
      </c>
      <c r="H244" s="12" t="n">
        <v>300.2</v>
      </c>
      <c r="J244" s="11" t="n">
        <v>46197</v>
      </c>
      <c r="K244" s="20" t="inlineStr">
        <is>
          <t>Spree Markt AG</t>
        </is>
      </c>
      <c r="L244" s="20" t="inlineStr">
        <is>
          <t>DE-Ost</t>
        </is>
      </c>
      <c r="M244" s="20" t="inlineStr">
        <is>
          <t>Trockensortiment</t>
        </is>
      </c>
      <c r="N244" s="12" t="n">
        <v>74880</v>
      </c>
      <c r="O244" s="12" t="n">
        <v>138528</v>
      </c>
      <c r="P244" s="12" t="n">
        <v>150.8</v>
      </c>
      <c r="Q244" s="12" t="n">
        <v>104</v>
      </c>
    </row>
    <row r="245">
      <c r="A245" s="11" t="n">
        <v>45833</v>
      </c>
      <c r="B245" s="20" t="inlineStr">
        <is>
          <t>Delta Foods BV</t>
        </is>
      </c>
      <c r="C245" s="20" t="inlineStr">
        <is>
          <t>NL</t>
        </is>
      </c>
      <c r="D245" s="20" t="inlineStr">
        <is>
          <t>Trockensortiment</t>
        </is>
      </c>
      <c r="E245" s="12" t="n">
        <v>42912</v>
      </c>
      <c r="F245" s="12" t="n">
        <v>79387.2</v>
      </c>
      <c r="G245" s="12" t="n">
        <v>86.42</v>
      </c>
      <c r="H245" s="12" t="n">
        <v>59.6</v>
      </c>
      <c r="J245" s="11" t="n">
        <v>46197</v>
      </c>
      <c r="K245" s="20" t="inlineStr">
        <is>
          <t>Alpenmarkt GmbH</t>
        </is>
      </c>
      <c r="L245" s="20" t="inlineStr">
        <is>
          <t>DE-Sued</t>
        </is>
      </c>
      <c r="M245" s="20" t="inlineStr">
        <is>
          <t>Getraenke</t>
        </is>
      </c>
      <c r="N245" s="12" t="n">
        <v>314592</v>
      </c>
      <c r="O245" s="12" t="n">
        <v>298862.4</v>
      </c>
      <c r="P245" s="12" t="n">
        <v>507.94</v>
      </c>
      <c r="Q245" s="12" t="n">
        <v>327.7</v>
      </c>
    </row>
    <row r="246">
      <c r="A246" s="11" t="n">
        <v>45839</v>
      </c>
      <c r="B246" s="20" t="inlineStr">
        <is>
          <t>Spree Markt AG</t>
        </is>
      </c>
      <c r="C246" s="20" t="inlineStr">
        <is>
          <t>DE-Ost</t>
        </is>
      </c>
      <c r="D246" s="20" t="inlineStr">
        <is>
          <t>Kuehlware</t>
        </is>
      </c>
      <c r="E246" s="12" t="n">
        <v>24144</v>
      </c>
      <c r="F246" s="12" t="n">
        <v>82089.60000000001</v>
      </c>
      <c r="G246" s="12" t="n">
        <v>65.39</v>
      </c>
      <c r="H246" s="12" t="n">
        <v>50.3</v>
      </c>
    </row>
    <row r="247">
      <c r="A247" s="11" t="n">
        <v>45840</v>
      </c>
      <c r="B247" s="20" t="inlineStr">
        <is>
          <t>Nordmarkt AG</t>
        </is>
      </c>
      <c r="C247" s="20" t="inlineStr">
        <is>
          <t>DE-Nord</t>
        </is>
      </c>
      <c r="D247" s="20" t="inlineStr">
        <is>
          <t>Aktionsware</t>
        </is>
      </c>
      <c r="E247" s="12" t="n">
        <v>9432</v>
      </c>
      <c r="F247" s="12" t="n">
        <v>58478.4</v>
      </c>
      <c r="G247" s="12" t="n">
        <v>39.3</v>
      </c>
      <c r="H247" s="12" t="n">
        <v>26.2</v>
      </c>
    </row>
    <row r="248">
      <c r="A248" s="11" t="n">
        <v>45840</v>
      </c>
      <c r="B248" s="20" t="inlineStr">
        <is>
          <t>Kuestenlager KG</t>
        </is>
      </c>
      <c r="C248" s="20" t="inlineStr">
        <is>
          <t>DE-Nord</t>
        </is>
      </c>
      <c r="D248" s="20" t="inlineStr">
        <is>
          <t>Kuehlware</t>
        </is>
      </c>
      <c r="E248" s="12" t="n">
        <v>50880</v>
      </c>
      <c r="F248" s="12" t="n">
        <v>172992</v>
      </c>
      <c r="G248" s="12" t="n">
        <v>137.8</v>
      </c>
      <c r="H248" s="12" t="n">
        <v>106</v>
      </c>
    </row>
    <row r="249">
      <c r="A249" s="11" t="n">
        <v>45840</v>
      </c>
      <c r="B249" s="20" t="inlineStr">
        <is>
          <t>Delta Foods BV</t>
        </is>
      </c>
      <c r="C249" s="20" t="inlineStr">
        <is>
          <t>NL</t>
        </is>
      </c>
      <c r="D249" s="20" t="inlineStr">
        <is>
          <t>Non-Food</t>
        </is>
      </c>
      <c r="E249" s="12" t="n">
        <v>6288</v>
      </c>
      <c r="F249" s="12" t="n">
        <v>78600</v>
      </c>
      <c r="G249" s="12" t="n">
        <v>41.92</v>
      </c>
      <c r="H249" s="12" t="n">
        <v>26.2</v>
      </c>
    </row>
    <row r="250">
      <c r="A250" s="11" t="n">
        <v>45840</v>
      </c>
      <c r="B250" s="20" t="inlineStr">
        <is>
          <t>Wisla Retail Sp.</t>
        </is>
      </c>
      <c r="C250" s="20" t="inlineStr">
        <is>
          <t>PL</t>
        </is>
      </c>
      <c r="D250" s="20" t="inlineStr">
        <is>
          <t>Getraenke</t>
        </is>
      </c>
      <c r="E250" s="12" t="n">
        <v>52128</v>
      </c>
      <c r="F250" s="12" t="n">
        <v>49521.6</v>
      </c>
      <c r="G250" s="12" t="n">
        <v>84.16</v>
      </c>
      <c r="H250" s="12" t="n">
        <v>54.3</v>
      </c>
    </row>
    <row r="251">
      <c r="A251" s="11" t="n">
        <v>45841</v>
      </c>
      <c r="B251" s="20" t="inlineStr">
        <is>
          <t>Nordmarkt AG</t>
        </is>
      </c>
      <c r="C251" s="20" t="inlineStr">
        <is>
          <t>DE-Nord</t>
        </is>
      </c>
      <c r="D251" s="20" t="inlineStr">
        <is>
          <t>Trockensortiment</t>
        </is>
      </c>
      <c r="E251" s="12" t="n">
        <v>106560</v>
      </c>
      <c r="F251" s="12" t="n">
        <v>197136</v>
      </c>
      <c r="G251" s="12" t="n">
        <v>214.6</v>
      </c>
      <c r="H251" s="12" t="n">
        <v>148</v>
      </c>
    </row>
    <row r="252">
      <c r="A252" s="11" t="n">
        <v>45841</v>
      </c>
      <c r="B252" s="20" t="inlineStr">
        <is>
          <t>Spree Markt AG</t>
        </is>
      </c>
      <c r="C252" s="20" t="inlineStr">
        <is>
          <t>DE-Ost</t>
        </is>
      </c>
      <c r="D252" s="20" t="inlineStr">
        <is>
          <t>Aktionsware</t>
        </is>
      </c>
      <c r="E252" s="12" t="n">
        <v>7668</v>
      </c>
      <c r="F252" s="12" t="n">
        <v>47541.6</v>
      </c>
      <c r="G252" s="12" t="n">
        <v>31.95</v>
      </c>
      <c r="H252" s="12" t="n">
        <v>21.3</v>
      </c>
    </row>
    <row r="253">
      <c r="A253" s="11" t="n">
        <v>45842</v>
      </c>
      <c r="B253" s="20" t="inlineStr">
        <is>
          <t>Austria Markt GmbH</t>
        </is>
      </c>
      <c r="C253" s="20" t="inlineStr">
        <is>
          <t>AT</t>
        </is>
      </c>
      <c r="D253" s="20" t="inlineStr">
        <is>
          <t>Non-Food</t>
        </is>
      </c>
      <c r="E253" s="12" t="n">
        <v>4608</v>
      </c>
      <c r="F253" s="12" t="n">
        <v>57600</v>
      </c>
      <c r="G253" s="12" t="n">
        <v>30.72</v>
      </c>
      <c r="H253" s="12" t="n">
        <v>19.2</v>
      </c>
    </row>
    <row r="254">
      <c r="A254" s="11" t="n">
        <v>45842</v>
      </c>
      <c r="B254" s="20" t="inlineStr">
        <is>
          <t>Austria Markt GmbH</t>
        </is>
      </c>
      <c r="C254" s="20" t="inlineStr">
        <is>
          <t>AT</t>
        </is>
      </c>
      <c r="D254" s="20" t="inlineStr">
        <is>
          <t>Trockensortiment</t>
        </is>
      </c>
      <c r="E254" s="12" t="n">
        <v>29448</v>
      </c>
      <c r="F254" s="12" t="n">
        <v>54478.8</v>
      </c>
      <c r="G254" s="12" t="n">
        <v>59.3</v>
      </c>
      <c r="H254" s="12" t="n">
        <v>40.9</v>
      </c>
    </row>
    <row r="255">
      <c r="A255" s="11" t="n">
        <v>45842</v>
      </c>
      <c r="B255" s="20" t="inlineStr">
        <is>
          <t>Hessen Vertrieb GmbH</t>
        </is>
      </c>
      <c r="C255" s="20" t="inlineStr">
        <is>
          <t>DE-Mitte</t>
        </is>
      </c>
      <c r="D255" s="20" t="inlineStr">
        <is>
          <t>Non-Food</t>
        </is>
      </c>
      <c r="E255" s="12" t="n">
        <v>8352</v>
      </c>
      <c r="F255" s="12" t="n">
        <v>104400</v>
      </c>
      <c r="G255" s="12" t="n">
        <v>55.68</v>
      </c>
      <c r="H255" s="12" t="n">
        <v>34.8</v>
      </c>
    </row>
    <row r="256">
      <c r="A256" s="11" t="n">
        <v>45842</v>
      </c>
      <c r="B256" s="20" t="inlineStr">
        <is>
          <t>Rheinland Retail SE</t>
        </is>
      </c>
      <c r="C256" s="20" t="inlineStr">
        <is>
          <t>DE-West</t>
        </is>
      </c>
      <c r="D256" s="20" t="inlineStr">
        <is>
          <t>Getraenke</t>
        </is>
      </c>
      <c r="E256" s="12" t="n">
        <v>301440</v>
      </c>
      <c r="F256" s="12" t="n">
        <v>286368</v>
      </c>
      <c r="G256" s="12" t="n">
        <v>486.7</v>
      </c>
      <c r="H256" s="12" t="n">
        <v>314</v>
      </c>
    </row>
    <row r="257">
      <c r="A257" s="11" t="n">
        <v>45842</v>
      </c>
      <c r="B257" s="20" t="inlineStr">
        <is>
          <t>Randstad Retail BV</t>
        </is>
      </c>
      <c r="C257" s="20" t="inlineStr">
        <is>
          <t>NL</t>
        </is>
      </c>
      <c r="D257" s="20" t="inlineStr">
        <is>
          <t>Aktionsware</t>
        </is>
      </c>
      <c r="E257" s="12" t="n">
        <v>4608</v>
      </c>
      <c r="F257" s="12" t="n">
        <v>28569.6</v>
      </c>
      <c r="G257" s="12" t="n">
        <v>19.2</v>
      </c>
      <c r="H257" s="12" t="n">
        <v>12.8</v>
      </c>
    </row>
    <row r="258">
      <c r="A258" s="11" t="n">
        <v>45844</v>
      </c>
      <c r="B258" s="20" t="inlineStr">
        <is>
          <t>Tirol Handel AG</t>
        </is>
      </c>
      <c r="C258" s="20" t="inlineStr">
        <is>
          <t>AT</t>
        </is>
      </c>
      <c r="D258" s="20" t="inlineStr">
        <is>
          <t>Getraenke</t>
        </is>
      </c>
      <c r="E258" s="12" t="n">
        <v>81120</v>
      </c>
      <c r="F258" s="12" t="n">
        <v>77064</v>
      </c>
      <c r="G258" s="12" t="n">
        <v>130.97</v>
      </c>
      <c r="H258" s="12" t="n">
        <v>84.5</v>
      </c>
    </row>
    <row r="259">
      <c r="A259" s="11" t="n">
        <v>45844</v>
      </c>
      <c r="B259" s="20" t="inlineStr">
        <is>
          <t>Mainpunkt Handel</t>
        </is>
      </c>
      <c r="C259" s="20" t="inlineStr">
        <is>
          <t>DE-Mitte</t>
        </is>
      </c>
      <c r="D259" s="20" t="inlineStr">
        <is>
          <t>Getraenke</t>
        </is>
      </c>
      <c r="E259" s="12" t="n">
        <v>203040</v>
      </c>
      <c r="F259" s="12" t="n">
        <v>192888</v>
      </c>
      <c r="G259" s="12" t="n">
        <v>327.82</v>
      </c>
      <c r="H259" s="12" t="n">
        <v>211.5</v>
      </c>
    </row>
    <row r="260">
      <c r="A260" s="11" t="n">
        <v>45845</v>
      </c>
      <c r="B260" s="20" t="inlineStr">
        <is>
          <t>Elbe Handel GmbH</t>
        </is>
      </c>
      <c r="C260" s="20" t="inlineStr">
        <is>
          <t>DE-Nord</t>
        </is>
      </c>
      <c r="D260" s="20" t="inlineStr">
        <is>
          <t>Non-Food</t>
        </is>
      </c>
      <c r="E260" s="12" t="n">
        <v>10080</v>
      </c>
      <c r="F260" s="12" t="n">
        <v>126000</v>
      </c>
      <c r="G260" s="12" t="n">
        <v>67.2</v>
      </c>
      <c r="H260" s="12" t="n">
        <v>42</v>
      </c>
    </row>
    <row r="261">
      <c r="A261" s="11" t="n">
        <v>45848</v>
      </c>
      <c r="B261" s="20" t="inlineStr">
        <is>
          <t>Sachsen Handel GmbH</t>
        </is>
      </c>
      <c r="C261" s="20" t="inlineStr">
        <is>
          <t>DE-Ost</t>
        </is>
      </c>
      <c r="D261" s="20" t="inlineStr">
        <is>
          <t>Getraenke</t>
        </is>
      </c>
      <c r="E261" s="12" t="n">
        <v>176544</v>
      </c>
      <c r="F261" s="12" t="n">
        <v>167716.8</v>
      </c>
      <c r="G261" s="12" t="n">
        <v>285.05</v>
      </c>
      <c r="H261" s="12" t="n">
        <v>183.9</v>
      </c>
    </row>
    <row r="262">
      <c r="A262" s="11" t="n">
        <v>45848</v>
      </c>
      <c r="B262" s="20" t="inlineStr">
        <is>
          <t>Sued Filialen KG</t>
        </is>
      </c>
      <c r="C262" s="20" t="inlineStr">
        <is>
          <t>DE-Sued</t>
        </is>
      </c>
      <c r="D262" s="20" t="inlineStr">
        <is>
          <t>Kuehlware</t>
        </is>
      </c>
      <c r="E262" s="12" t="n">
        <v>45264</v>
      </c>
      <c r="F262" s="12" t="n">
        <v>153897.6</v>
      </c>
      <c r="G262" s="12" t="n">
        <v>122.59</v>
      </c>
      <c r="H262" s="12" t="n">
        <v>94.3</v>
      </c>
    </row>
    <row r="263">
      <c r="A263" s="11" t="n">
        <v>45848</v>
      </c>
      <c r="B263" s="20" t="inlineStr">
        <is>
          <t>Alpenmarkt GmbH</t>
        </is>
      </c>
      <c r="C263" s="20" t="inlineStr">
        <is>
          <t>DE-Sued</t>
        </is>
      </c>
      <c r="D263" s="20" t="inlineStr">
        <is>
          <t>Trockensortiment</t>
        </is>
      </c>
      <c r="E263" s="12" t="n">
        <v>109512</v>
      </c>
      <c r="F263" s="12" t="n">
        <v>202597.2</v>
      </c>
      <c r="G263" s="12" t="n">
        <v>220.54</v>
      </c>
      <c r="H263" s="12" t="n">
        <v>152.1</v>
      </c>
    </row>
    <row r="264">
      <c r="A264" s="11" t="n">
        <v>45849</v>
      </c>
      <c r="B264" s="20" t="inlineStr">
        <is>
          <t>Westfilial AG</t>
        </is>
      </c>
      <c r="C264" s="20" t="inlineStr">
        <is>
          <t>DE-West</t>
        </is>
      </c>
      <c r="D264" s="20" t="inlineStr">
        <is>
          <t>Trockensortiment</t>
        </is>
      </c>
      <c r="E264" s="12" t="n">
        <v>159048</v>
      </c>
      <c r="F264" s="12" t="n">
        <v>294238.8</v>
      </c>
      <c r="G264" s="12" t="n">
        <v>320.31</v>
      </c>
      <c r="H264" s="12" t="n">
        <v>220.9</v>
      </c>
    </row>
    <row r="265">
      <c r="A265" s="11" t="n">
        <v>45850</v>
      </c>
      <c r="B265" s="20" t="inlineStr">
        <is>
          <t>Hessen Vertrieb GmbH</t>
        </is>
      </c>
      <c r="C265" s="20" t="inlineStr">
        <is>
          <t>DE-Mitte</t>
        </is>
      </c>
      <c r="D265" s="20" t="inlineStr">
        <is>
          <t>Kuehlware</t>
        </is>
      </c>
      <c r="E265" s="12" t="n">
        <v>26400</v>
      </c>
      <c r="F265" s="12" t="n">
        <v>89760</v>
      </c>
      <c r="G265" s="12" t="n">
        <v>71.5</v>
      </c>
      <c r="H265" s="12" t="n">
        <v>55</v>
      </c>
    </row>
    <row r="266">
      <c r="A266" s="11" t="n">
        <v>45851</v>
      </c>
      <c r="B266" s="20" t="inlineStr">
        <is>
          <t>Westfilial AG</t>
        </is>
      </c>
      <c r="C266" s="20" t="inlineStr">
        <is>
          <t>DE-West</t>
        </is>
      </c>
      <c r="D266" s="20" t="inlineStr">
        <is>
          <t>Non-Food</t>
        </is>
      </c>
      <c r="E266" s="12" t="n">
        <v>14976</v>
      </c>
      <c r="F266" s="12" t="n">
        <v>187200</v>
      </c>
      <c r="G266" s="12" t="n">
        <v>99.84</v>
      </c>
      <c r="H266" s="12" t="n">
        <v>62.4</v>
      </c>
    </row>
    <row r="267">
      <c r="A267" s="11" t="n">
        <v>45853</v>
      </c>
      <c r="B267" s="20" t="inlineStr">
        <is>
          <t>Spree Markt AG</t>
        </is>
      </c>
      <c r="C267" s="20" t="inlineStr">
        <is>
          <t>DE-Ost</t>
        </is>
      </c>
      <c r="D267" s="20" t="inlineStr">
        <is>
          <t>Non-Food</t>
        </is>
      </c>
      <c r="E267" s="12" t="n">
        <v>6120</v>
      </c>
      <c r="F267" s="12" t="n">
        <v>76500</v>
      </c>
      <c r="G267" s="12" t="n">
        <v>40.8</v>
      </c>
      <c r="H267" s="12" t="n">
        <v>25.5</v>
      </c>
    </row>
    <row r="268">
      <c r="A268" s="11" t="n">
        <v>45853</v>
      </c>
      <c r="B268" s="20" t="inlineStr">
        <is>
          <t>Odra Handel Sp.</t>
        </is>
      </c>
      <c r="C268" s="20" t="inlineStr">
        <is>
          <t>PL</t>
        </is>
      </c>
      <c r="D268" s="20" t="inlineStr">
        <is>
          <t>Aktionsware</t>
        </is>
      </c>
      <c r="E268" s="12" t="n">
        <v>15624</v>
      </c>
      <c r="F268" s="12" t="n">
        <v>96868.8</v>
      </c>
      <c r="G268" s="12" t="n">
        <v>65.09999999999999</v>
      </c>
      <c r="H268" s="12" t="n">
        <v>43.4</v>
      </c>
    </row>
    <row r="269">
      <c r="A269" s="11" t="n">
        <v>45854</v>
      </c>
      <c r="B269" s="20" t="inlineStr">
        <is>
          <t>Hessen Vertrieb GmbH</t>
        </is>
      </c>
      <c r="C269" s="20" t="inlineStr">
        <is>
          <t>DE-Mitte</t>
        </is>
      </c>
      <c r="D269" s="20" t="inlineStr">
        <is>
          <t>Aktionsware</t>
        </is>
      </c>
      <c r="E269" s="12" t="n">
        <v>9252</v>
      </c>
      <c r="F269" s="12" t="n">
        <v>57362.4</v>
      </c>
      <c r="G269" s="12" t="n">
        <v>38.55</v>
      </c>
      <c r="H269" s="12" t="n">
        <v>25.7</v>
      </c>
    </row>
    <row r="270">
      <c r="A270" s="11" t="n">
        <v>45855</v>
      </c>
      <c r="B270" s="20" t="inlineStr">
        <is>
          <t>Sued Filialen KG</t>
        </is>
      </c>
      <c r="C270" s="20" t="inlineStr">
        <is>
          <t>DE-Sued</t>
        </is>
      </c>
      <c r="D270" s="20" t="inlineStr">
        <is>
          <t>Non-Food</t>
        </is>
      </c>
      <c r="E270" s="12" t="n">
        <v>10560</v>
      </c>
      <c r="F270" s="12" t="n">
        <v>132000</v>
      </c>
      <c r="G270" s="12" t="n">
        <v>70.40000000000001</v>
      </c>
      <c r="H270" s="12" t="n">
        <v>44</v>
      </c>
    </row>
    <row r="271">
      <c r="A271" s="11" t="n">
        <v>45855</v>
      </c>
      <c r="B271" s="20" t="inlineStr">
        <is>
          <t>Rheinland Retail SE</t>
        </is>
      </c>
      <c r="C271" s="20" t="inlineStr">
        <is>
          <t>DE-West</t>
        </is>
      </c>
      <c r="D271" s="20" t="inlineStr">
        <is>
          <t>Aktionsware</t>
        </is>
      </c>
      <c r="E271" s="12" t="n">
        <v>12168</v>
      </c>
      <c r="F271" s="12" t="n">
        <v>75441.60000000001</v>
      </c>
      <c r="G271" s="12" t="n">
        <v>50.7</v>
      </c>
      <c r="H271" s="12" t="n">
        <v>33.8</v>
      </c>
    </row>
    <row r="272">
      <c r="A272" s="11" t="n">
        <v>45855</v>
      </c>
      <c r="B272" s="20" t="inlineStr">
        <is>
          <t>Randstad Retail BV</t>
        </is>
      </c>
      <c r="C272" s="20" t="inlineStr">
        <is>
          <t>NL</t>
        </is>
      </c>
      <c r="D272" s="20" t="inlineStr">
        <is>
          <t>Getraenke</t>
        </is>
      </c>
      <c r="E272" s="12" t="n">
        <v>60192</v>
      </c>
      <c r="F272" s="12" t="n">
        <v>57182.4</v>
      </c>
      <c r="G272" s="12" t="n">
        <v>97.19</v>
      </c>
      <c r="H272" s="12" t="n">
        <v>62.7</v>
      </c>
    </row>
    <row r="273">
      <c r="A273" s="11" t="n">
        <v>45855</v>
      </c>
      <c r="B273" s="20" t="inlineStr">
        <is>
          <t>Randstad Retail BV</t>
        </is>
      </c>
      <c r="C273" s="20" t="inlineStr">
        <is>
          <t>NL</t>
        </is>
      </c>
      <c r="D273" s="20" t="inlineStr">
        <is>
          <t>Kuehlware</t>
        </is>
      </c>
      <c r="E273" s="12" t="n">
        <v>23376</v>
      </c>
      <c r="F273" s="12" t="n">
        <v>79478.39999999999</v>
      </c>
      <c r="G273" s="12" t="n">
        <v>63.31</v>
      </c>
      <c r="H273" s="12" t="n">
        <v>48.7</v>
      </c>
    </row>
    <row r="274">
      <c r="A274" s="11" t="n">
        <v>45855</v>
      </c>
      <c r="B274" s="20" t="inlineStr">
        <is>
          <t>Wisla Retail Sp.</t>
        </is>
      </c>
      <c r="C274" s="20" t="inlineStr">
        <is>
          <t>PL</t>
        </is>
      </c>
      <c r="D274" s="20" t="inlineStr">
        <is>
          <t>Non-Food</t>
        </is>
      </c>
      <c r="E274" s="12" t="n">
        <v>11256</v>
      </c>
      <c r="F274" s="12" t="n">
        <v>140700</v>
      </c>
      <c r="G274" s="12" t="n">
        <v>75.04000000000001</v>
      </c>
      <c r="H274" s="12" t="n">
        <v>46.9</v>
      </c>
    </row>
    <row r="275">
      <c r="A275" s="11" t="n">
        <v>45855</v>
      </c>
      <c r="B275" s="20" t="inlineStr">
        <is>
          <t>Odra Handel Sp.</t>
        </is>
      </c>
      <c r="C275" s="20" t="inlineStr">
        <is>
          <t>PL</t>
        </is>
      </c>
      <c r="D275" s="20" t="inlineStr">
        <is>
          <t>Trockensortiment</t>
        </is>
      </c>
      <c r="E275" s="12" t="n">
        <v>23544</v>
      </c>
      <c r="F275" s="12" t="n">
        <v>43556.4</v>
      </c>
      <c r="G275" s="12" t="n">
        <v>47.41</v>
      </c>
      <c r="H275" s="12" t="n">
        <v>32.7</v>
      </c>
    </row>
    <row r="276">
      <c r="A276" s="11" t="n">
        <v>45857</v>
      </c>
      <c r="B276" s="20" t="inlineStr">
        <is>
          <t>Sachsen Handel GmbH</t>
        </is>
      </c>
      <c r="C276" s="20" t="inlineStr">
        <is>
          <t>DE-Ost</t>
        </is>
      </c>
      <c r="D276" s="20" t="inlineStr">
        <is>
          <t>Trockensortiment</t>
        </is>
      </c>
      <c r="E276" s="12" t="n">
        <v>60552</v>
      </c>
      <c r="F276" s="12" t="n">
        <v>112021.2</v>
      </c>
      <c r="G276" s="12" t="n">
        <v>121.94</v>
      </c>
      <c r="H276" s="12" t="n">
        <v>84.09999999999999</v>
      </c>
    </row>
    <row r="277">
      <c r="A277" s="11" t="n">
        <v>45858</v>
      </c>
      <c r="B277" s="20" t="inlineStr">
        <is>
          <t>Donau Handel AG</t>
        </is>
      </c>
      <c r="C277" s="20" t="inlineStr">
        <is>
          <t>DE-Sued</t>
        </is>
      </c>
      <c r="D277" s="20" t="inlineStr">
        <is>
          <t>Aktionsware</t>
        </is>
      </c>
      <c r="E277" s="12" t="n">
        <v>10116</v>
      </c>
      <c r="F277" s="12" t="n">
        <v>62719.2</v>
      </c>
      <c r="G277" s="12" t="n">
        <v>42.15</v>
      </c>
      <c r="H277" s="12" t="n">
        <v>28.1</v>
      </c>
    </row>
    <row r="278">
      <c r="A278" s="11" t="n">
        <v>45858</v>
      </c>
      <c r="B278" s="20" t="inlineStr">
        <is>
          <t>Alpenmarkt GmbH</t>
        </is>
      </c>
      <c r="C278" s="20" t="inlineStr">
        <is>
          <t>DE-Sued</t>
        </is>
      </c>
      <c r="D278" s="20" t="inlineStr">
        <is>
          <t>Getraenke</t>
        </is>
      </c>
      <c r="E278" s="12" t="n">
        <v>253248</v>
      </c>
      <c r="F278" s="12" t="n">
        <v>240585.6</v>
      </c>
      <c r="G278" s="12" t="n">
        <v>408.89</v>
      </c>
      <c r="H278" s="12" t="n">
        <v>263.8</v>
      </c>
    </row>
    <row r="279">
      <c r="A279" s="11" t="n">
        <v>45860</v>
      </c>
      <c r="B279" s="20" t="inlineStr">
        <is>
          <t>Austria Markt GmbH</t>
        </is>
      </c>
      <c r="C279" s="20" t="inlineStr">
        <is>
          <t>AT</t>
        </is>
      </c>
      <c r="D279" s="20" t="inlineStr">
        <is>
          <t>Aktionsware</t>
        </is>
      </c>
      <c r="E279" s="12" t="n">
        <v>3924</v>
      </c>
      <c r="F279" s="12" t="n">
        <v>24328.8</v>
      </c>
      <c r="G279" s="12" t="n">
        <v>16.35</v>
      </c>
      <c r="H279" s="12" t="n">
        <v>10.9</v>
      </c>
    </row>
    <row r="280">
      <c r="A280" s="11" t="n">
        <v>45861</v>
      </c>
      <c r="B280" s="20" t="inlineStr">
        <is>
          <t>Randstad Retail BV</t>
        </is>
      </c>
      <c r="C280" s="20" t="inlineStr">
        <is>
          <t>NL</t>
        </is>
      </c>
      <c r="D280" s="20" t="inlineStr">
        <is>
          <t>Trockensortiment</t>
        </is>
      </c>
      <c r="E280" s="12" t="n">
        <v>42840</v>
      </c>
      <c r="F280" s="12" t="n">
        <v>79254</v>
      </c>
      <c r="G280" s="12" t="n">
        <v>86.27</v>
      </c>
      <c r="H280" s="12" t="n">
        <v>59.5</v>
      </c>
    </row>
    <row r="281">
      <c r="A281" s="11" t="n">
        <v>45862</v>
      </c>
      <c r="B281" s="20" t="inlineStr">
        <is>
          <t>Hessen Vertrieb GmbH</t>
        </is>
      </c>
      <c r="C281" s="20" t="inlineStr">
        <is>
          <t>DE-Mitte</t>
        </is>
      </c>
      <c r="D281" s="20" t="inlineStr">
        <is>
          <t>Trockensortiment</t>
        </is>
      </c>
      <c r="E281" s="12" t="n">
        <v>92808</v>
      </c>
      <c r="F281" s="12" t="n">
        <v>171694.8</v>
      </c>
      <c r="G281" s="12" t="n">
        <v>186.91</v>
      </c>
      <c r="H281" s="12" t="n">
        <v>128.9</v>
      </c>
    </row>
    <row r="282">
      <c r="A282" s="11" t="n">
        <v>45862</v>
      </c>
      <c r="B282" s="20" t="inlineStr">
        <is>
          <t>Kuestenlager KG</t>
        </is>
      </c>
      <c r="C282" s="20" t="inlineStr">
        <is>
          <t>DE-Nord</t>
        </is>
      </c>
      <c r="D282" s="20" t="inlineStr">
        <is>
          <t>Getraenke</t>
        </is>
      </c>
      <c r="E282" s="12" t="n">
        <v>218304</v>
      </c>
      <c r="F282" s="12" t="n">
        <v>207388.8</v>
      </c>
      <c r="G282" s="12" t="n">
        <v>352.47</v>
      </c>
      <c r="H282" s="12" t="n">
        <v>227.4</v>
      </c>
    </row>
    <row r="283">
      <c r="A283" s="11" t="n">
        <v>45863</v>
      </c>
      <c r="B283" s="20" t="inlineStr">
        <is>
          <t>Tirol Handel AG</t>
        </is>
      </c>
      <c r="C283" s="20" t="inlineStr">
        <is>
          <t>AT</t>
        </is>
      </c>
      <c r="D283" s="20" t="inlineStr">
        <is>
          <t>Kuehlware</t>
        </is>
      </c>
      <c r="E283" s="12" t="n">
        <v>11424</v>
      </c>
      <c r="F283" s="12" t="n">
        <v>38841.6</v>
      </c>
      <c r="G283" s="12" t="n">
        <v>30.94</v>
      </c>
      <c r="H283" s="12" t="n">
        <v>23.8</v>
      </c>
    </row>
    <row r="284">
      <c r="A284" s="11" t="n">
        <v>45863</v>
      </c>
      <c r="B284" s="20" t="inlineStr">
        <is>
          <t>Ruhr Frische GmbH</t>
        </is>
      </c>
      <c r="C284" s="20" t="inlineStr">
        <is>
          <t>DE-West</t>
        </is>
      </c>
      <c r="D284" s="20" t="inlineStr">
        <is>
          <t>Kuehlware</t>
        </is>
      </c>
      <c r="E284" s="12" t="n">
        <v>56208</v>
      </c>
      <c r="F284" s="12" t="n">
        <v>191107.2</v>
      </c>
      <c r="G284" s="12" t="n">
        <v>152.23</v>
      </c>
      <c r="H284" s="12" t="n">
        <v>117.1</v>
      </c>
    </row>
    <row r="285">
      <c r="A285" s="11" t="n">
        <v>45863</v>
      </c>
      <c r="B285" s="20" t="inlineStr">
        <is>
          <t>Wisla Retail Sp.</t>
        </is>
      </c>
      <c r="C285" s="20" t="inlineStr">
        <is>
          <t>PL</t>
        </is>
      </c>
      <c r="D285" s="20" t="inlineStr">
        <is>
          <t>Kuehlware</t>
        </is>
      </c>
      <c r="E285" s="12" t="n">
        <v>8112</v>
      </c>
      <c r="F285" s="12" t="n">
        <v>27580.8</v>
      </c>
      <c r="G285" s="12" t="n">
        <v>21.97</v>
      </c>
      <c r="H285" s="12" t="n">
        <v>16.9</v>
      </c>
    </row>
    <row r="286">
      <c r="A286" s="11" t="n">
        <v>45871</v>
      </c>
      <c r="B286" s="20" t="inlineStr">
        <is>
          <t>Hessen Vertrieb GmbH</t>
        </is>
      </c>
      <c r="C286" s="20" t="inlineStr">
        <is>
          <t>DE-Mitte</t>
        </is>
      </c>
      <c r="D286" s="20" t="inlineStr">
        <is>
          <t>Non-Food</t>
        </is>
      </c>
      <c r="E286" s="12" t="n">
        <v>9360</v>
      </c>
      <c r="F286" s="12" t="n">
        <v>117000</v>
      </c>
      <c r="G286" s="12" t="n">
        <v>62.4</v>
      </c>
      <c r="H286" s="12" t="n">
        <v>39</v>
      </c>
    </row>
    <row r="287">
      <c r="A287" s="11" t="n">
        <v>45872</v>
      </c>
      <c r="B287" s="20" t="inlineStr">
        <is>
          <t>Tirol Handel AG</t>
        </is>
      </c>
      <c r="C287" s="20" t="inlineStr">
        <is>
          <t>AT</t>
        </is>
      </c>
      <c r="D287" s="20" t="inlineStr">
        <is>
          <t>Trockensortiment</t>
        </is>
      </c>
      <c r="E287" s="12" t="n">
        <v>30024</v>
      </c>
      <c r="F287" s="12" t="n">
        <v>55544.4</v>
      </c>
      <c r="G287" s="12" t="n">
        <v>60.47</v>
      </c>
      <c r="H287" s="12" t="n">
        <v>41.7</v>
      </c>
    </row>
    <row r="288">
      <c r="A288" s="11" t="n">
        <v>45873</v>
      </c>
      <c r="B288" s="20" t="inlineStr">
        <is>
          <t>Sued Filialen KG</t>
        </is>
      </c>
      <c r="C288" s="20" t="inlineStr">
        <is>
          <t>DE-Sued</t>
        </is>
      </c>
      <c r="D288" s="20" t="inlineStr">
        <is>
          <t>Aktionsware</t>
        </is>
      </c>
      <c r="E288" s="12" t="n">
        <v>12060</v>
      </c>
      <c r="F288" s="12" t="n">
        <v>74772</v>
      </c>
      <c r="G288" s="12" t="n">
        <v>50.25</v>
      </c>
      <c r="H288" s="12" t="n">
        <v>33.5</v>
      </c>
    </row>
    <row r="289">
      <c r="A289" s="11" t="n">
        <v>45873</v>
      </c>
      <c r="B289" s="20" t="inlineStr">
        <is>
          <t>Rheinland Retail SE</t>
        </is>
      </c>
      <c r="C289" s="20" t="inlineStr">
        <is>
          <t>DE-West</t>
        </is>
      </c>
      <c r="D289" s="20" t="inlineStr">
        <is>
          <t>Kuehlware</t>
        </is>
      </c>
      <c r="E289" s="12" t="n">
        <v>46896</v>
      </c>
      <c r="F289" s="12" t="n">
        <v>159446.4</v>
      </c>
      <c r="G289" s="12" t="n">
        <v>127.01</v>
      </c>
      <c r="H289" s="12" t="n">
        <v>97.7</v>
      </c>
    </row>
    <row r="290">
      <c r="A290" s="11" t="n">
        <v>45874</v>
      </c>
      <c r="B290" s="20" t="inlineStr">
        <is>
          <t>Nordmarkt AG</t>
        </is>
      </c>
      <c r="C290" s="20" t="inlineStr">
        <is>
          <t>DE-Nord</t>
        </is>
      </c>
      <c r="D290" s="20" t="inlineStr">
        <is>
          <t>Aktionsware</t>
        </is>
      </c>
      <c r="E290" s="12" t="n">
        <v>11052</v>
      </c>
      <c r="F290" s="12" t="n">
        <v>68522.39999999999</v>
      </c>
      <c r="G290" s="12" t="n">
        <v>46.05</v>
      </c>
      <c r="H290" s="12" t="n">
        <v>30.7</v>
      </c>
    </row>
    <row r="291">
      <c r="A291" s="11" t="n">
        <v>45874</v>
      </c>
      <c r="B291" s="20" t="inlineStr">
        <is>
          <t>Sachsen Handel GmbH</t>
        </is>
      </c>
      <c r="C291" s="20" t="inlineStr">
        <is>
          <t>DE-Ost</t>
        </is>
      </c>
      <c r="D291" s="20" t="inlineStr">
        <is>
          <t>Kuehlware</t>
        </is>
      </c>
      <c r="E291" s="12" t="n">
        <v>22320</v>
      </c>
      <c r="F291" s="12" t="n">
        <v>75888</v>
      </c>
      <c r="G291" s="12" t="n">
        <v>60.45</v>
      </c>
      <c r="H291" s="12" t="n">
        <v>46.5</v>
      </c>
    </row>
    <row r="292">
      <c r="A292" s="11" t="n">
        <v>45874</v>
      </c>
      <c r="B292" s="20" t="inlineStr">
        <is>
          <t>Wisla Retail Sp.</t>
        </is>
      </c>
      <c r="C292" s="20" t="inlineStr">
        <is>
          <t>PL</t>
        </is>
      </c>
      <c r="D292" s="20" t="inlineStr">
        <is>
          <t>Getraenke</t>
        </is>
      </c>
      <c r="E292" s="12" t="n">
        <v>50592</v>
      </c>
      <c r="F292" s="12" t="n">
        <v>48062.4</v>
      </c>
      <c r="G292" s="12" t="n">
        <v>81.69</v>
      </c>
      <c r="H292" s="12" t="n">
        <v>52.7</v>
      </c>
    </row>
    <row r="293">
      <c r="A293" s="11" t="n">
        <v>45875</v>
      </c>
      <c r="B293" s="20" t="inlineStr">
        <is>
          <t>Austria Markt GmbH</t>
        </is>
      </c>
      <c r="C293" s="20" t="inlineStr">
        <is>
          <t>AT</t>
        </is>
      </c>
      <c r="D293" s="20" t="inlineStr">
        <is>
          <t>Aktionsware</t>
        </is>
      </c>
      <c r="E293" s="12" t="n">
        <v>4716</v>
      </c>
      <c r="F293" s="12" t="n">
        <v>29239.2</v>
      </c>
      <c r="G293" s="12" t="n">
        <v>19.65</v>
      </c>
      <c r="H293" s="12" t="n">
        <v>13.1</v>
      </c>
    </row>
    <row r="294">
      <c r="A294" s="11" t="n">
        <v>45876</v>
      </c>
      <c r="B294" s="20" t="inlineStr">
        <is>
          <t>Austria Markt GmbH</t>
        </is>
      </c>
      <c r="C294" s="20" t="inlineStr">
        <is>
          <t>AT</t>
        </is>
      </c>
      <c r="D294" s="20" t="inlineStr">
        <is>
          <t>Getraenke</t>
        </is>
      </c>
      <c r="E294" s="12" t="n">
        <v>75552</v>
      </c>
      <c r="F294" s="12" t="n">
        <v>71774.39999999999</v>
      </c>
      <c r="G294" s="12" t="n">
        <v>121.99</v>
      </c>
      <c r="H294" s="12" t="n">
        <v>78.7</v>
      </c>
    </row>
    <row r="295">
      <c r="A295" s="11" t="n">
        <v>45876</v>
      </c>
      <c r="B295" s="20" t="inlineStr">
        <is>
          <t>Wisla Retail Sp.</t>
        </is>
      </c>
      <c r="C295" s="20" t="inlineStr">
        <is>
          <t>PL</t>
        </is>
      </c>
      <c r="D295" s="20" t="inlineStr">
        <is>
          <t>Non-Food</t>
        </is>
      </c>
      <c r="E295" s="12" t="n">
        <v>10872</v>
      </c>
      <c r="F295" s="12" t="n">
        <v>135900</v>
      </c>
      <c r="G295" s="12" t="n">
        <v>72.48</v>
      </c>
      <c r="H295" s="12" t="n">
        <v>45.3</v>
      </c>
    </row>
    <row r="296">
      <c r="A296" s="11" t="n">
        <v>45877</v>
      </c>
      <c r="B296" s="20" t="inlineStr">
        <is>
          <t>Delta Foods BV</t>
        </is>
      </c>
      <c r="C296" s="20" t="inlineStr">
        <is>
          <t>NL</t>
        </is>
      </c>
      <c r="D296" s="20" t="inlineStr">
        <is>
          <t>Getraenke</t>
        </is>
      </c>
      <c r="E296" s="12" t="n">
        <v>61824</v>
      </c>
      <c r="F296" s="12" t="n">
        <v>58732.8</v>
      </c>
      <c r="G296" s="12" t="n">
        <v>99.81999999999999</v>
      </c>
      <c r="H296" s="12" t="n">
        <v>64.40000000000001</v>
      </c>
    </row>
    <row r="297">
      <c r="A297" s="11" t="n">
        <v>45877</v>
      </c>
      <c r="B297" s="20" t="inlineStr">
        <is>
          <t>Delta Foods BV</t>
        </is>
      </c>
      <c r="C297" s="20" t="inlineStr">
        <is>
          <t>NL</t>
        </is>
      </c>
      <c r="D297" s="20" t="inlineStr">
        <is>
          <t>Kuehlware</t>
        </is>
      </c>
      <c r="E297" s="12" t="n">
        <v>22272</v>
      </c>
      <c r="F297" s="12" t="n">
        <v>75724.8</v>
      </c>
      <c r="G297" s="12" t="n">
        <v>60.32</v>
      </c>
      <c r="H297" s="12" t="n">
        <v>46.4</v>
      </c>
    </row>
    <row r="298">
      <c r="A298" s="11" t="n">
        <v>45877</v>
      </c>
      <c r="B298" s="20" t="inlineStr">
        <is>
          <t>Wisla Retail Sp.</t>
        </is>
      </c>
      <c r="C298" s="20" t="inlineStr">
        <is>
          <t>PL</t>
        </is>
      </c>
      <c r="D298" s="20" t="inlineStr">
        <is>
          <t>Trockensortiment</t>
        </is>
      </c>
      <c r="E298" s="12" t="n">
        <v>23904</v>
      </c>
      <c r="F298" s="12" t="n">
        <v>44222.4</v>
      </c>
      <c r="G298" s="12" t="n">
        <v>48.14</v>
      </c>
      <c r="H298" s="12" t="n">
        <v>33.2</v>
      </c>
    </row>
    <row r="299">
      <c r="A299" s="11" t="n">
        <v>45878</v>
      </c>
      <c r="B299" s="20" t="inlineStr">
        <is>
          <t>Ruhr Frische GmbH</t>
        </is>
      </c>
      <c r="C299" s="20" t="inlineStr">
        <is>
          <t>DE-West</t>
        </is>
      </c>
      <c r="D299" s="20" t="inlineStr">
        <is>
          <t>Non-Food</t>
        </is>
      </c>
      <c r="E299" s="12" t="n">
        <v>14472</v>
      </c>
      <c r="F299" s="12" t="n">
        <v>180900</v>
      </c>
      <c r="G299" s="12" t="n">
        <v>96.48</v>
      </c>
      <c r="H299" s="12" t="n">
        <v>60.3</v>
      </c>
    </row>
    <row r="300">
      <c r="A300" s="11" t="n">
        <v>45878</v>
      </c>
      <c r="B300" s="20" t="inlineStr">
        <is>
          <t>Delta Foods BV</t>
        </is>
      </c>
      <c r="C300" s="20" t="inlineStr">
        <is>
          <t>NL</t>
        </is>
      </c>
      <c r="D300" s="20" t="inlineStr">
        <is>
          <t>Trockensortiment</t>
        </is>
      </c>
      <c r="E300" s="12" t="n">
        <v>40536</v>
      </c>
      <c r="F300" s="12" t="n">
        <v>74991.60000000001</v>
      </c>
      <c r="G300" s="12" t="n">
        <v>81.63</v>
      </c>
      <c r="H300" s="12" t="n">
        <v>56.3</v>
      </c>
    </row>
    <row r="301">
      <c r="A301" s="11" t="n">
        <v>45879</v>
      </c>
      <c r="B301" s="20" t="inlineStr">
        <is>
          <t>Odra Handel Sp.</t>
        </is>
      </c>
      <c r="C301" s="20" t="inlineStr">
        <is>
          <t>PL</t>
        </is>
      </c>
      <c r="D301" s="20" t="inlineStr">
        <is>
          <t>Kuehlware</t>
        </is>
      </c>
      <c r="E301" s="12" t="n">
        <v>7008</v>
      </c>
      <c r="F301" s="12" t="n">
        <v>23827.2</v>
      </c>
      <c r="G301" s="12" t="n">
        <v>18.98</v>
      </c>
      <c r="H301" s="12" t="n">
        <v>14.6</v>
      </c>
    </row>
    <row r="302">
      <c r="A302" s="11" t="n">
        <v>45880</v>
      </c>
      <c r="B302" s="20" t="inlineStr">
        <is>
          <t>Hessen Vertrieb GmbH</t>
        </is>
      </c>
      <c r="C302" s="20" t="inlineStr">
        <is>
          <t>DE-Mitte</t>
        </is>
      </c>
      <c r="D302" s="20" t="inlineStr">
        <is>
          <t>Trockensortiment</t>
        </is>
      </c>
      <c r="E302" s="12" t="n">
        <v>76176</v>
      </c>
      <c r="F302" s="12" t="n">
        <v>140925.6</v>
      </c>
      <c r="G302" s="12" t="n">
        <v>153.41</v>
      </c>
      <c r="H302" s="12" t="n">
        <v>105.8</v>
      </c>
    </row>
    <row r="303">
      <c r="A303" s="11" t="n">
        <v>45881</v>
      </c>
      <c r="B303" s="20" t="inlineStr">
        <is>
          <t>Mainpunkt Handel</t>
        </is>
      </c>
      <c r="C303" s="20" t="inlineStr">
        <is>
          <t>DE-Mitte</t>
        </is>
      </c>
      <c r="D303" s="20" t="inlineStr">
        <is>
          <t>Aktionsware</t>
        </is>
      </c>
      <c r="E303" s="12" t="n">
        <v>9252</v>
      </c>
      <c r="F303" s="12" t="n">
        <v>57362.4</v>
      </c>
      <c r="G303" s="12" t="n">
        <v>38.55</v>
      </c>
      <c r="H303" s="12" t="n">
        <v>25.7</v>
      </c>
    </row>
    <row r="304">
      <c r="A304" s="11" t="n">
        <v>45881</v>
      </c>
      <c r="B304" s="20" t="inlineStr">
        <is>
          <t>Mainpunkt Handel</t>
        </is>
      </c>
      <c r="C304" s="20" t="inlineStr">
        <is>
          <t>DE-Mitte</t>
        </is>
      </c>
      <c r="D304" s="20" t="inlineStr">
        <is>
          <t>Kuehlware</t>
        </is>
      </c>
      <c r="E304" s="12" t="n">
        <v>24864</v>
      </c>
      <c r="F304" s="12" t="n">
        <v>84537.60000000001</v>
      </c>
      <c r="G304" s="12" t="n">
        <v>67.34</v>
      </c>
      <c r="H304" s="12" t="n">
        <v>51.8</v>
      </c>
    </row>
    <row r="305">
      <c r="A305" s="11" t="n">
        <v>45881</v>
      </c>
      <c r="B305" s="20" t="inlineStr">
        <is>
          <t>Spree Markt AG</t>
        </is>
      </c>
      <c r="C305" s="20" t="inlineStr">
        <is>
          <t>DE-Ost</t>
        </is>
      </c>
      <c r="D305" s="20" t="inlineStr">
        <is>
          <t>Getraenke</t>
        </is>
      </c>
      <c r="E305" s="12" t="n">
        <v>137184</v>
      </c>
      <c r="F305" s="12" t="n">
        <v>130324.8</v>
      </c>
      <c r="G305" s="12" t="n">
        <v>221.5</v>
      </c>
      <c r="H305" s="12" t="n">
        <v>142.9</v>
      </c>
    </row>
    <row r="306">
      <c r="A306" s="11" t="n">
        <v>45881</v>
      </c>
      <c r="B306" s="20" t="inlineStr">
        <is>
          <t>Westfilial AG</t>
        </is>
      </c>
      <c r="C306" s="20" t="inlineStr">
        <is>
          <t>DE-West</t>
        </is>
      </c>
      <c r="D306" s="20" t="inlineStr">
        <is>
          <t>Trockensortiment</t>
        </is>
      </c>
      <c r="E306" s="12" t="n">
        <v>137448</v>
      </c>
      <c r="F306" s="12" t="n">
        <v>254278.8</v>
      </c>
      <c r="G306" s="12" t="n">
        <v>276.81</v>
      </c>
      <c r="H306" s="12" t="n">
        <v>190.9</v>
      </c>
    </row>
    <row r="307">
      <c r="A307" s="11" t="n">
        <v>45882</v>
      </c>
      <c r="B307" s="20" t="inlineStr">
        <is>
          <t>Hessen Vertrieb GmbH</t>
        </is>
      </c>
      <c r="C307" s="20" t="inlineStr">
        <is>
          <t>DE-Mitte</t>
        </is>
      </c>
      <c r="D307" s="20" t="inlineStr">
        <is>
          <t>Getraenke</t>
        </is>
      </c>
      <c r="E307" s="12" t="n">
        <v>175296</v>
      </c>
      <c r="F307" s="12" t="n">
        <v>166531.2</v>
      </c>
      <c r="G307" s="12" t="n">
        <v>283.03</v>
      </c>
      <c r="H307" s="12" t="n">
        <v>182.6</v>
      </c>
    </row>
    <row r="308">
      <c r="A308" s="11" t="n">
        <v>45883</v>
      </c>
      <c r="B308" s="20" t="inlineStr">
        <is>
          <t>Austria Markt GmbH</t>
        </is>
      </c>
      <c r="C308" s="20" t="inlineStr">
        <is>
          <t>AT</t>
        </is>
      </c>
      <c r="D308" s="20" t="inlineStr">
        <is>
          <t>Kuehlware</t>
        </is>
      </c>
      <c r="E308" s="12" t="n">
        <v>10224</v>
      </c>
      <c r="F308" s="12" t="n">
        <v>34761.6</v>
      </c>
      <c r="G308" s="12" t="n">
        <v>27.69</v>
      </c>
      <c r="H308" s="12" t="n">
        <v>21.3</v>
      </c>
    </row>
    <row r="309">
      <c r="A309" s="11" t="n">
        <v>45883</v>
      </c>
      <c r="B309" s="20" t="inlineStr">
        <is>
          <t>Randstad Retail BV</t>
        </is>
      </c>
      <c r="C309" s="20" t="inlineStr">
        <is>
          <t>NL</t>
        </is>
      </c>
      <c r="D309" s="20" t="inlineStr">
        <is>
          <t>Aktionsware</t>
        </is>
      </c>
      <c r="E309" s="12" t="n">
        <v>5184</v>
      </c>
      <c r="F309" s="12" t="n">
        <v>32140.8</v>
      </c>
      <c r="G309" s="12" t="n">
        <v>21.6</v>
      </c>
      <c r="H309" s="12" t="n">
        <v>14.4</v>
      </c>
    </row>
    <row r="310">
      <c r="A310" s="11" t="n">
        <v>45884</v>
      </c>
      <c r="B310" s="20" t="inlineStr">
        <is>
          <t>Elbe Handel GmbH</t>
        </is>
      </c>
      <c r="C310" s="20" t="inlineStr">
        <is>
          <t>DE-Nord</t>
        </is>
      </c>
      <c r="D310" s="20" t="inlineStr">
        <is>
          <t>Getraenke</t>
        </is>
      </c>
      <c r="E310" s="12" t="n">
        <v>184608</v>
      </c>
      <c r="F310" s="12" t="n">
        <v>175377.6</v>
      </c>
      <c r="G310" s="12" t="n">
        <v>298.07</v>
      </c>
      <c r="H310" s="12" t="n">
        <v>192.3</v>
      </c>
    </row>
    <row r="311">
      <c r="A311" s="11" t="n">
        <v>45886</v>
      </c>
      <c r="B311" s="20" t="inlineStr">
        <is>
          <t>Spree Markt AG</t>
        </is>
      </c>
      <c r="C311" s="20" t="inlineStr">
        <is>
          <t>DE-Ost</t>
        </is>
      </c>
      <c r="D311" s="20" t="inlineStr">
        <is>
          <t>Aktionsware</t>
        </is>
      </c>
      <c r="E311" s="12" t="n">
        <v>8280</v>
      </c>
      <c r="F311" s="12" t="n">
        <v>51336</v>
      </c>
      <c r="G311" s="12" t="n">
        <v>34.5</v>
      </c>
      <c r="H311" s="12" t="n">
        <v>23</v>
      </c>
    </row>
    <row r="312">
      <c r="A312" s="11" t="n">
        <v>45886</v>
      </c>
      <c r="B312" s="20" t="inlineStr">
        <is>
          <t>Ruhr Frische GmbH</t>
        </is>
      </c>
      <c r="C312" s="20" t="inlineStr">
        <is>
          <t>DE-West</t>
        </is>
      </c>
      <c r="D312" s="20" t="inlineStr">
        <is>
          <t>Getraenke</t>
        </is>
      </c>
      <c r="E312" s="12" t="n">
        <v>304992</v>
      </c>
      <c r="F312" s="12" t="n">
        <v>289742.4</v>
      </c>
      <c r="G312" s="12" t="n">
        <v>492.44</v>
      </c>
      <c r="H312" s="12" t="n">
        <v>317.7</v>
      </c>
    </row>
    <row r="313">
      <c r="A313" s="11" t="n">
        <v>45887</v>
      </c>
      <c r="B313" s="20" t="inlineStr">
        <is>
          <t>Sachsen Handel GmbH</t>
        </is>
      </c>
      <c r="C313" s="20" t="inlineStr">
        <is>
          <t>DE-Ost</t>
        </is>
      </c>
      <c r="D313" s="20" t="inlineStr">
        <is>
          <t>Trockensortiment</t>
        </is>
      </c>
      <c r="E313" s="12" t="n">
        <v>62712</v>
      </c>
      <c r="F313" s="12" t="n">
        <v>116017.2</v>
      </c>
      <c r="G313" s="12" t="n">
        <v>126.29</v>
      </c>
      <c r="H313" s="12" t="n">
        <v>87.09999999999999</v>
      </c>
    </row>
    <row r="314">
      <c r="A314" s="11" t="n">
        <v>45889</v>
      </c>
      <c r="B314" s="20" t="inlineStr">
        <is>
          <t>Austria Markt GmbH</t>
        </is>
      </c>
      <c r="C314" s="20" t="inlineStr">
        <is>
          <t>AT</t>
        </is>
      </c>
      <c r="D314" s="20" t="inlineStr">
        <is>
          <t>Non-Food</t>
        </is>
      </c>
      <c r="E314" s="12" t="n">
        <v>4368</v>
      </c>
      <c r="F314" s="12" t="n">
        <v>54600</v>
      </c>
      <c r="G314" s="12" t="n">
        <v>29.12</v>
      </c>
      <c r="H314" s="12" t="n">
        <v>18.2</v>
      </c>
    </row>
    <row r="315">
      <c r="A315" s="11" t="n">
        <v>45889</v>
      </c>
      <c r="B315" s="20" t="inlineStr">
        <is>
          <t>Nordmarkt AG</t>
        </is>
      </c>
      <c r="C315" s="20" t="inlineStr">
        <is>
          <t>DE-Nord</t>
        </is>
      </c>
      <c r="D315" s="20" t="inlineStr">
        <is>
          <t>Non-Food</t>
        </is>
      </c>
      <c r="E315" s="12" t="n">
        <v>9792</v>
      </c>
      <c r="F315" s="12" t="n">
        <v>122400</v>
      </c>
      <c r="G315" s="12" t="n">
        <v>65.28</v>
      </c>
      <c r="H315" s="12" t="n">
        <v>40.8</v>
      </c>
    </row>
    <row r="316">
      <c r="A316" s="11" t="n">
        <v>45889</v>
      </c>
      <c r="B316" s="20" t="inlineStr">
        <is>
          <t>Elbe Handel GmbH</t>
        </is>
      </c>
      <c r="C316" s="20" t="inlineStr">
        <is>
          <t>DE-Nord</t>
        </is>
      </c>
      <c r="D316" s="20" t="inlineStr">
        <is>
          <t>Trockensortiment</t>
        </is>
      </c>
      <c r="E316" s="12" t="n">
        <v>116352</v>
      </c>
      <c r="F316" s="12" t="n">
        <v>215251.2</v>
      </c>
      <c r="G316" s="12" t="n">
        <v>234.32</v>
      </c>
      <c r="H316" s="12" t="n">
        <v>161.6</v>
      </c>
    </row>
    <row r="317">
      <c r="A317" s="11" t="n">
        <v>45889</v>
      </c>
      <c r="B317" s="20" t="inlineStr">
        <is>
          <t>Sachsen Handel GmbH</t>
        </is>
      </c>
      <c r="C317" s="20" t="inlineStr">
        <is>
          <t>DE-Ost</t>
        </is>
      </c>
      <c r="D317" s="20" t="inlineStr">
        <is>
          <t>Non-Food</t>
        </is>
      </c>
      <c r="E317" s="12" t="n">
        <v>6552</v>
      </c>
      <c r="F317" s="12" t="n">
        <v>81900</v>
      </c>
      <c r="G317" s="12" t="n">
        <v>43.68</v>
      </c>
      <c r="H317" s="12" t="n">
        <v>27.3</v>
      </c>
    </row>
    <row r="318">
      <c r="A318" s="11" t="n">
        <v>45889</v>
      </c>
      <c r="B318" s="20" t="inlineStr">
        <is>
          <t>Alpenmarkt GmbH</t>
        </is>
      </c>
      <c r="C318" s="20" t="inlineStr">
        <is>
          <t>DE-Sued</t>
        </is>
      </c>
      <c r="D318" s="20" t="inlineStr">
        <is>
          <t>Kuehlware</t>
        </is>
      </c>
      <c r="E318" s="12" t="n">
        <v>41472</v>
      </c>
      <c r="F318" s="12" t="n">
        <v>141004.8</v>
      </c>
      <c r="G318" s="12" t="n">
        <v>112.32</v>
      </c>
      <c r="H318" s="12" t="n">
        <v>86.40000000000001</v>
      </c>
    </row>
    <row r="319">
      <c r="A319" s="11" t="n">
        <v>45889</v>
      </c>
      <c r="B319" s="20" t="inlineStr">
        <is>
          <t>Delta Foods BV</t>
        </is>
      </c>
      <c r="C319" s="20" t="inlineStr">
        <is>
          <t>NL</t>
        </is>
      </c>
      <c r="D319" s="20" t="inlineStr">
        <is>
          <t>Non-Food</t>
        </is>
      </c>
      <c r="E319" s="12" t="n">
        <v>6312</v>
      </c>
      <c r="F319" s="12" t="n">
        <v>78900</v>
      </c>
      <c r="G319" s="12" t="n">
        <v>42.08</v>
      </c>
      <c r="H319" s="12" t="n">
        <v>26.3</v>
      </c>
    </row>
    <row r="320">
      <c r="A320" s="11" t="n">
        <v>45890</v>
      </c>
      <c r="B320" s="20" t="inlineStr">
        <is>
          <t>Donau Handel AG</t>
        </is>
      </c>
      <c r="C320" s="20" t="inlineStr">
        <is>
          <t>DE-Sued</t>
        </is>
      </c>
      <c r="D320" s="20" t="inlineStr">
        <is>
          <t>Getraenke</t>
        </is>
      </c>
      <c r="E320" s="12" t="n">
        <v>249792</v>
      </c>
      <c r="F320" s="12" t="n">
        <v>237302.4</v>
      </c>
      <c r="G320" s="12" t="n">
        <v>403.31</v>
      </c>
      <c r="H320" s="12" t="n">
        <v>260.2</v>
      </c>
    </row>
    <row r="321">
      <c r="A321" s="11" t="n">
        <v>45890</v>
      </c>
      <c r="B321" s="20" t="inlineStr">
        <is>
          <t>Westfilial AG</t>
        </is>
      </c>
      <c r="C321" s="20" t="inlineStr">
        <is>
          <t>DE-West</t>
        </is>
      </c>
      <c r="D321" s="20" t="inlineStr">
        <is>
          <t>Aktionsware</t>
        </is>
      </c>
      <c r="E321" s="12" t="n">
        <v>17460</v>
      </c>
      <c r="F321" s="12" t="n">
        <v>108252</v>
      </c>
      <c r="G321" s="12" t="n">
        <v>72.75</v>
      </c>
      <c r="H321" s="12" t="n">
        <v>48.5</v>
      </c>
    </row>
    <row r="322">
      <c r="A322" s="11" t="n">
        <v>45890</v>
      </c>
      <c r="B322" s="20" t="inlineStr">
        <is>
          <t>Odra Handel Sp.</t>
        </is>
      </c>
      <c r="C322" s="20" t="inlineStr">
        <is>
          <t>PL</t>
        </is>
      </c>
      <c r="D322" s="20" t="inlineStr">
        <is>
          <t>Aktionsware</t>
        </is>
      </c>
      <c r="E322" s="12" t="n">
        <v>22212</v>
      </c>
      <c r="F322" s="12" t="n">
        <v>137714.4</v>
      </c>
      <c r="G322" s="12" t="n">
        <v>92.55</v>
      </c>
      <c r="H322" s="12" t="n">
        <v>61.7</v>
      </c>
    </row>
    <row r="323">
      <c r="A323" s="11" t="n">
        <v>45893</v>
      </c>
      <c r="B323" s="20" t="inlineStr">
        <is>
          <t>Sued Filialen KG</t>
        </is>
      </c>
      <c r="C323" s="20" t="inlineStr">
        <is>
          <t>DE-Sued</t>
        </is>
      </c>
      <c r="D323" s="20" t="inlineStr">
        <is>
          <t>Non-Food</t>
        </is>
      </c>
      <c r="E323" s="12" t="n">
        <v>10728</v>
      </c>
      <c r="F323" s="12" t="n">
        <v>134100</v>
      </c>
      <c r="G323" s="12" t="n">
        <v>71.52</v>
      </c>
      <c r="H323" s="12" t="n">
        <v>44.7</v>
      </c>
    </row>
    <row r="324">
      <c r="A324" s="11" t="n">
        <v>45893</v>
      </c>
      <c r="B324" s="20" t="inlineStr">
        <is>
          <t>Alpenmarkt GmbH</t>
        </is>
      </c>
      <c r="C324" s="20" t="inlineStr">
        <is>
          <t>DE-Sued</t>
        </is>
      </c>
      <c r="D324" s="20" t="inlineStr">
        <is>
          <t>Trockensortiment</t>
        </is>
      </c>
      <c r="E324" s="12" t="n">
        <v>119952</v>
      </c>
      <c r="F324" s="12" t="n">
        <v>221911.2</v>
      </c>
      <c r="G324" s="12" t="n">
        <v>241.57</v>
      </c>
      <c r="H324" s="12" t="n">
        <v>166.6</v>
      </c>
    </row>
    <row r="325">
      <c r="A325" s="11" t="n">
        <v>45894</v>
      </c>
      <c r="B325" s="20" t="inlineStr">
        <is>
          <t>Nordmarkt AG</t>
        </is>
      </c>
      <c r="C325" s="20" t="inlineStr">
        <is>
          <t>DE-Nord</t>
        </is>
      </c>
      <c r="D325" s="20" t="inlineStr">
        <is>
          <t>Kuehlware</t>
        </is>
      </c>
      <c r="E325" s="12" t="n">
        <v>54336</v>
      </c>
      <c r="F325" s="12" t="n">
        <v>184742.4</v>
      </c>
      <c r="G325" s="12" t="n">
        <v>147.16</v>
      </c>
      <c r="H325" s="12" t="n">
        <v>113.2</v>
      </c>
    </row>
    <row r="326">
      <c r="A326" s="11" t="n">
        <v>45901</v>
      </c>
      <c r="B326" s="20" t="inlineStr">
        <is>
          <t>Hessen Vertrieb GmbH</t>
        </is>
      </c>
      <c r="C326" s="20" t="inlineStr">
        <is>
          <t>DE-Mitte</t>
        </is>
      </c>
      <c r="D326" s="20" t="inlineStr">
        <is>
          <t>Kuehlware</t>
        </is>
      </c>
      <c r="E326" s="12" t="n">
        <v>26400</v>
      </c>
      <c r="F326" s="12" t="n">
        <v>89760</v>
      </c>
      <c r="G326" s="12" t="n">
        <v>71.5</v>
      </c>
      <c r="H326" s="12" t="n">
        <v>55</v>
      </c>
    </row>
    <row r="327">
      <c r="A327" s="11" t="n">
        <v>45901</v>
      </c>
      <c r="B327" s="20" t="inlineStr">
        <is>
          <t>Odra Handel Sp.</t>
        </is>
      </c>
      <c r="C327" s="20" t="inlineStr">
        <is>
          <t>PL</t>
        </is>
      </c>
      <c r="D327" s="20" t="inlineStr">
        <is>
          <t>Getraenke</t>
        </is>
      </c>
      <c r="E327" s="12" t="n">
        <v>48192</v>
      </c>
      <c r="F327" s="12" t="n">
        <v>45782.4</v>
      </c>
      <c r="G327" s="12" t="n">
        <v>77.81</v>
      </c>
      <c r="H327" s="12" t="n">
        <v>50.2</v>
      </c>
    </row>
    <row r="328">
      <c r="A328" s="11" t="n">
        <v>45902</v>
      </c>
      <c r="B328" s="20" t="inlineStr">
        <is>
          <t>Donau Handel AG</t>
        </is>
      </c>
      <c r="C328" s="20" t="inlineStr">
        <is>
          <t>DE-Sued</t>
        </is>
      </c>
      <c r="D328" s="20" t="inlineStr">
        <is>
          <t>Getraenke</t>
        </is>
      </c>
      <c r="E328" s="12" t="n">
        <v>218208</v>
      </c>
      <c r="F328" s="12" t="n">
        <v>207297.6</v>
      </c>
      <c r="G328" s="12" t="n">
        <v>352.32</v>
      </c>
      <c r="H328" s="12" t="n">
        <v>227.3</v>
      </c>
    </row>
    <row r="329">
      <c r="A329" s="11" t="n">
        <v>45902</v>
      </c>
      <c r="B329" s="20" t="inlineStr">
        <is>
          <t>Delta Foods BV</t>
        </is>
      </c>
      <c r="C329" s="20" t="inlineStr">
        <is>
          <t>NL</t>
        </is>
      </c>
      <c r="D329" s="20" t="inlineStr">
        <is>
          <t>Trockensortiment</t>
        </is>
      </c>
      <c r="E329" s="12" t="n">
        <v>45144</v>
      </c>
      <c r="F329" s="12" t="n">
        <v>83516.39999999999</v>
      </c>
      <c r="G329" s="12" t="n">
        <v>90.92</v>
      </c>
      <c r="H329" s="12" t="n">
        <v>62.7</v>
      </c>
    </row>
    <row r="330">
      <c r="A330" s="11" t="n">
        <v>45903</v>
      </c>
      <c r="B330" s="20" t="inlineStr">
        <is>
          <t>Kuestenlager KG</t>
        </is>
      </c>
      <c r="C330" s="20" t="inlineStr">
        <is>
          <t>DE-Nord</t>
        </is>
      </c>
      <c r="D330" s="20" t="inlineStr">
        <is>
          <t>Kuehlware</t>
        </is>
      </c>
      <c r="E330" s="12" t="n">
        <v>42912</v>
      </c>
      <c r="F330" s="12" t="n">
        <v>145900.8</v>
      </c>
      <c r="G330" s="12" t="n">
        <v>116.22</v>
      </c>
      <c r="H330" s="12" t="n">
        <v>89.40000000000001</v>
      </c>
    </row>
    <row r="331">
      <c r="A331" s="11" t="n">
        <v>45903</v>
      </c>
      <c r="B331" s="20" t="inlineStr">
        <is>
          <t>Wisla Retail Sp.</t>
        </is>
      </c>
      <c r="C331" s="20" t="inlineStr">
        <is>
          <t>PL</t>
        </is>
      </c>
      <c r="D331" s="20" t="inlineStr">
        <is>
          <t>Non-Food</t>
        </is>
      </c>
      <c r="E331" s="12" t="n">
        <v>9744</v>
      </c>
      <c r="F331" s="12" t="n">
        <v>121800</v>
      </c>
      <c r="G331" s="12" t="n">
        <v>64.95999999999999</v>
      </c>
      <c r="H331" s="12" t="n">
        <v>40.6</v>
      </c>
    </row>
    <row r="332">
      <c r="A332" s="11" t="n">
        <v>45904</v>
      </c>
      <c r="B332" s="20" t="inlineStr">
        <is>
          <t>Alpenmarkt GmbH</t>
        </is>
      </c>
      <c r="C332" s="20" t="inlineStr">
        <is>
          <t>DE-Sued</t>
        </is>
      </c>
      <c r="D332" s="20" t="inlineStr">
        <is>
          <t>Aktionsware</t>
        </is>
      </c>
      <c r="E332" s="12" t="n">
        <v>17244</v>
      </c>
      <c r="F332" s="12" t="n">
        <v>106912.8</v>
      </c>
      <c r="G332" s="12" t="n">
        <v>71.84999999999999</v>
      </c>
      <c r="H332" s="12" t="n">
        <v>47.9</v>
      </c>
    </row>
    <row r="333">
      <c r="A333" s="11" t="n">
        <v>45904</v>
      </c>
      <c r="B333" s="20" t="inlineStr">
        <is>
          <t>Alpenmarkt GmbH</t>
        </is>
      </c>
      <c r="C333" s="20" t="inlineStr">
        <is>
          <t>DE-Sued</t>
        </is>
      </c>
      <c r="D333" s="20" t="inlineStr">
        <is>
          <t>Non-Food</t>
        </is>
      </c>
      <c r="E333" s="12" t="n">
        <v>11280</v>
      </c>
      <c r="F333" s="12" t="n">
        <v>141000</v>
      </c>
      <c r="G333" s="12" t="n">
        <v>75.2</v>
      </c>
      <c r="H333" s="12" t="n">
        <v>47</v>
      </c>
    </row>
    <row r="334">
      <c r="A334" s="11" t="n">
        <v>45905</v>
      </c>
      <c r="B334" s="20" t="inlineStr">
        <is>
          <t>Austria Markt GmbH</t>
        </is>
      </c>
      <c r="C334" s="20" t="inlineStr">
        <is>
          <t>AT</t>
        </is>
      </c>
      <c r="D334" s="20" t="inlineStr">
        <is>
          <t>Trockensortiment</t>
        </is>
      </c>
      <c r="E334" s="12" t="n">
        <v>32616</v>
      </c>
      <c r="F334" s="12" t="n">
        <v>60339.6</v>
      </c>
      <c r="G334" s="12" t="n">
        <v>65.68000000000001</v>
      </c>
      <c r="H334" s="12" t="n">
        <v>45.3</v>
      </c>
    </row>
    <row r="335">
      <c r="A335" s="11" t="n">
        <v>45905</v>
      </c>
      <c r="B335" s="20" t="inlineStr">
        <is>
          <t>Westfilial AG</t>
        </is>
      </c>
      <c r="C335" s="20" t="inlineStr">
        <is>
          <t>DE-West</t>
        </is>
      </c>
      <c r="D335" s="20" t="inlineStr">
        <is>
          <t>Aktionsware</t>
        </is>
      </c>
      <c r="E335" s="12" t="n">
        <v>16848</v>
      </c>
      <c r="F335" s="12" t="n">
        <v>104457.6</v>
      </c>
      <c r="G335" s="12" t="n">
        <v>70.2</v>
      </c>
      <c r="H335" s="12" t="n">
        <v>46.8</v>
      </c>
    </row>
    <row r="336">
      <c r="A336" s="11" t="n">
        <v>45905</v>
      </c>
      <c r="B336" s="20" t="inlineStr">
        <is>
          <t>Ruhr Frische GmbH</t>
        </is>
      </c>
      <c r="C336" s="20" t="inlineStr">
        <is>
          <t>DE-West</t>
        </is>
      </c>
      <c r="D336" s="20" t="inlineStr">
        <is>
          <t>Kuehlware</t>
        </is>
      </c>
      <c r="E336" s="12" t="n">
        <v>43008</v>
      </c>
      <c r="F336" s="12" t="n">
        <v>146227.2</v>
      </c>
      <c r="G336" s="12" t="n">
        <v>116.48</v>
      </c>
      <c r="H336" s="12" t="n">
        <v>89.59999999999999</v>
      </c>
    </row>
    <row r="337">
      <c r="A337" s="11" t="n">
        <v>45905</v>
      </c>
      <c r="B337" s="20" t="inlineStr">
        <is>
          <t>Odra Handel Sp.</t>
        </is>
      </c>
      <c r="C337" s="20" t="inlineStr">
        <is>
          <t>PL</t>
        </is>
      </c>
      <c r="D337" s="20" t="inlineStr">
        <is>
          <t>Aktionsware</t>
        </is>
      </c>
      <c r="E337" s="12" t="n">
        <v>21996</v>
      </c>
      <c r="F337" s="12" t="n">
        <v>136375.2</v>
      </c>
      <c r="G337" s="12" t="n">
        <v>91.65000000000001</v>
      </c>
      <c r="H337" s="12" t="n">
        <v>61.1</v>
      </c>
    </row>
    <row r="338">
      <c r="A338" s="11" t="n">
        <v>45907</v>
      </c>
      <c r="B338" s="20" t="inlineStr">
        <is>
          <t>Westfilial AG</t>
        </is>
      </c>
      <c r="C338" s="20" t="inlineStr">
        <is>
          <t>DE-West</t>
        </is>
      </c>
      <c r="D338" s="20" t="inlineStr">
        <is>
          <t>Non-Food</t>
        </is>
      </c>
      <c r="E338" s="12" t="n">
        <v>15216</v>
      </c>
      <c r="F338" s="12" t="n">
        <v>190200</v>
      </c>
      <c r="G338" s="12" t="n">
        <v>101.44</v>
      </c>
      <c r="H338" s="12" t="n">
        <v>63.4</v>
      </c>
    </row>
    <row r="339">
      <c r="A339" s="11" t="n">
        <v>45908</v>
      </c>
      <c r="B339" s="20" t="inlineStr">
        <is>
          <t>Kuestenlager KG</t>
        </is>
      </c>
      <c r="C339" s="20" t="inlineStr">
        <is>
          <t>DE-Nord</t>
        </is>
      </c>
      <c r="D339" s="20" t="inlineStr">
        <is>
          <t>Getraenke</t>
        </is>
      </c>
      <c r="E339" s="12" t="n">
        <v>173952</v>
      </c>
      <c r="F339" s="12" t="n">
        <v>165254.4</v>
      </c>
      <c r="G339" s="12" t="n">
        <v>280.86</v>
      </c>
      <c r="H339" s="12" t="n">
        <v>181.2</v>
      </c>
    </row>
    <row r="340">
      <c r="A340" s="11" t="n">
        <v>45908</v>
      </c>
      <c r="B340" s="20" t="inlineStr">
        <is>
          <t>Nordmarkt AG</t>
        </is>
      </c>
      <c r="C340" s="20" t="inlineStr">
        <is>
          <t>DE-Nord</t>
        </is>
      </c>
      <c r="D340" s="20" t="inlineStr">
        <is>
          <t>Non-Food</t>
        </is>
      </c>
      <c r="E340" s="12" t="n">
        <v>10584</v>
      </c>
      <c r="F340" s="12" t="n">
        <v>132300</v>
      </c>
      <c r="G340" s="12" t="n">
        <v>70.56</v>
      </c>
      <c r="H340" s="12" t="n">
        <v>44.1</v>
      </c>
    </row>
    <row r="341">
      <c r="A341" s="11" t="n">
        <v>45908</v>
      </c>
      <c r="B341" s="20" t="inlineStr">
        <is>
          <t>Delta Foods BV</t>
        </is>
      </c>
      <c r="C341" s="20" t="inlineStr">
        <is>
          <t>NL</t>
        </is>
      </c>
      <c r="D341" s="20" t="inlineStr">
        <is>
          <t>Non-Food</t>
        </is>
      </c>
      <c r="E341" s="12" t="n">
        <v>5592</v>
      </c>
      <c r="F341" s="12" t="n">
        <v>69900</v>
      </c>
      <c r="G341" s="12" t="n">
        <v>37.28</v>
      </c>
      <c r="H341" s="12" t="n">
        <v>23.3</v>
      </c>
    </row>
    <row r="342">
      <c r="A342" s="11" t="n">
        <v>45911</v>
      </c>
      <c r="B342" s="20" t="inlineStr">
        <is>
          <t>Tirol Handel AG</t>
        </is>
      </c>
      <c r="C342" s="20" t="inlineStr">
        <is>
          <t>AT</t>
        </is>
      </c>
      <c r="D342" s="20" t="inlineStr">
        <is>
          <t>Aktionsware</t>
        </is>
      </c>
      <c r="E342" s="12" t="n">
        <v>4896</v>
      </c>
      <c r="F342" s="12" t="n">
        <v>30355.2</v>
      </c>
      <c r="G342" s="12" t="n">
        <v>20.4</v>
      </c>
      <c r="H342" s="12" t="n">
        <v>13.6</v>
      </c>
    </row>
    <row r="343">
      <c r="A343" s="11" t="n">
        <v>45911</v>
      </c>
      <c r="B343" s="20" t="inlineStr">
        <is>
          <t>Delta Foods BV</t>
        </is>
      </c>
      <c r="C343" s="20" t="inlineStr">
        <is>
          <t>NL</t>
        </is>
      </c>
      <c r="D343" s="20" t="inlineStr">
        <is>
          <t>Getraenke</t>
        </is>
      </c>
      <c r="E343" s="12" t="n">
        <v>62112</v>
      </c>
      <c r="F343" s="12" t="n">
        <v>59006.4</v>
      </c>
      <c r="G343" s="12" t="n">
        <v>100.29</v>
      </c>
      <c r="H343" s="12" t="n">
        <v>64.7</v>
      </c>
    </row>
    <row r="344">
      <c r="A344" s="11" t="n">
        <v>45913</v>
      </c>
      <c r="B344" s="20" t="inlineStr">
        <is>
          <t>Mainpunkt Handel</t>
        </is>
      </c>
      <c r="C344" s="20" t="inlineStr">
        <is>
          <t>DE-Mitte</t>
        </is>
      </c>
      <c r="D344" s="20" t="inlineStr">
        <is>
          <t>Trockensortiment</t>
        </is>
      </c>
      <c r="E344" s="12" t="n">
        <v>84456</v>
      </c>
      <c r="F344" s="12" t="n">
        <v>156243.6</v>
      </c>
      <c r="G344" s="12" t="n">
        <v>170.08</v>
      </c>
      <c r="H344" s="12" t="n">
        <v>117.3</v>
      </c>
    </row>
    <row r="345">
      <c r="A345" s="11" t="n">
        <v>45913</v>
      </c>
      <c r="B345" s="20" t="inlineStr">
        <is>
          <t>Sachsen Handel GmbH</t>
        </is>
      </c>
      <c r="C345" s="20" t="inlineStr">
        <is>
          <t>DE-Ost</t>
        </is>
      </c>
      <c r="D345" s="20" t="inlineStr">
        <is>
          <t>Trockensortiment</t>
        </is>
      </c>
      <c r="E345" s="12" t="n">
        <v>66744</v>
      </c>
      <c r="F345" s="12" t="n">
        <v>123476.4</v>
      </c>
      <c r="G345" s="12" t="n">
        <v>134.41</v>
      </c>
      <c r="H345" s="12" t="n">
        <v>92.7</v>
      </c>
    </row>
    <row r="346">
      <c r="A346" s="11" t="n">
        <v>45913</v>
      </c>
      <c r="B346" s="20" t="inlineStr">
        <is>
          <t>Westfilial AG</t>
        </is>
      </c>
      <c r="C346" s="20" t="inlineStr">
        <is>
          <t>DE-West</t>
        </is>
      </c>
      <c r="D346" s="20" t="inlineStr">
        <is>
          <t>Trockensortiment</t>
        </is>
      </c>
      <c r="E346" s="12" t="n">
        <v>149256</v>
      </c>
      <c r="F346" s="12" t="n">
        <v>276123.6</v>
      </c>
      <c r="G346" s="12" t="n">
        <v>300.58</v>
      </c>
      <c r="H346" s="12" t="n">
        <v>207.3</v>
      </c>
    </row>
    <row r="347">
      <c r="A347" s="11" t="n">
        <v>45913</v>
      </c>
      <c r="B347" s="20" t="inlineStr">
        <is>
          <t>Randstad Retail BV</t>
        </is>
      </c>
      <c r="C347" s="20" t="inlineStr">
        <is>
          <t>NL</t>
        </is>
      </c>
      <c r="D347" s="20" t="inlineStr">
        <is>
          <t>Aktionsware</t>
        </is>
      </c>
      <c r="E347" s="12" t="n">
        <v>6300</v>
      </c>
      <c r="F347" s="12" t="n">
        <v>39060</v>
      </c>
      <c r="G347" s="12" t="n">
        <v>26.25</v>
      </c>
      <c r="H347" s="12" t="n">
        <v>17.5</v>
      </c>
    </row>
    <row r="348">
      <c r="A348" s="11" t="n">
        <v>45914</v>
      </c>
      <c r="B348" s="20" t="inlineStr">
        <is>
          <t>Tirol Handel AG</t>
        </is>
      </c>
      <c r="C348" s="20" t="inlineStr">
        <is>
          <t>AT</t>
        </is>
      </c>
      <c r="D348" s="20" t="inlineStr">
        <is>
          <t>Kuehlware</t>
        </is>
      </c>
      <c r="E348" s="12" t="n">
        <v>10320</v>
      </c>
      <c r="F348" s="12" t="n">
        <v>35088</v>
      </c>
      <c r="G348" s="12" t="n">
        <v>27.95</v>
      </c>
      <c r="H348" s="12" t="n">
        <v>21.5</v>
      </c>
    </row>
    <row r="349">
      <c r="A349" s="11" t="n">
        <v>45914</v>
      </c>
      <c r="B349" s="20" t="inlineStr">
        <is>
          <t>Sued Filialen KG</t>
        </is>
      </c>
      <c r="C349" s="20" t="inlineStr">
        <is>
          <t>DE-Sued</t>
        </is>
      </c>
      <c r="D349" s="20" t="inlineStr">
        <is>
          <t>Trockensortiment</t>
        </is>
      </c>
      <c r="E349" s="12" t="n">
        <v>128520</v>
      </c>
      <c r="F349" s="12" t="n">
        <v>237762</v>
      </c>
      <c r="G349" s="12" t="n">
        <v>258.82</v>
      </c>
      <c r="H349" s="12" t="n">
        <v>178.5</v>
      </c>
    </row>
    <row r="350">
      <c r="A350" s="11" t="n">
        <v>45914</v>
      </c>
      <c r="B350" s="20" t="inlineStr">
        <is>
          <t>Ruhr Frische GmbH</t>
        </is>
      </c>
      <c r="C350" s="20" t="inlineStr">
        <is>
          <t>DE-West</t>
        </is>
      </c>
      <c r="D350" s="20" t="inlineStr">
        <is>
          <t>Getraenke</t>
        </is>
      </c>
      <c r="E350" s="12" t="n">
        <v>241728</v>
      </c>
      <c r="F350" s="12" t="n">
        <v>229641.6</v>
      </c>
      <c r="G350" s="12" t="n">
        <v>390.29</v>
      </c>
      <c r="H350" s="12" t="n">
        <v>251.8</v>
      </c>
    </row>
    <row r="351">
      <c r="A351" s="11" t="n">
        <v>45915</v>
      </c>
      <c r="B351" s="20" t="inlineStr">
        <is>
          <t>Spree Markt AG</t>
        </is>
      </c>
      <c r="C351" s="20" t="inlineStr">
        <is>
          <t>DE-Ost</t>
        </is>
      </c>
      <c r="D351" s="20" t="inlineStr">
        <is>
          <t>Non-Food</t>
        </is>
      </c>
      <c r="E351" s="12" t="n">
        <v>6624</v>
      </c>
      <c r="F351" s="12" t="n">
        <v>82800</v>
      </c>
      <c r="G351" s="12" t="n">
        <v>44.16</v>
      </c>
      <c r="H351" s="12" t="n">
        <v>27.6</v>
      </c>
    </row>
    <row r="352">
      <c r="A352" s="11" t="n">
        <v>45917</v>
      </c>
      <c r="B352" s="20" t="inlineStr">
        <is>
          <t>Tirol Handel AG</t>
        </is>
      </c>
      <c r="C352" s="20" t="inlineStr">
        <is>
          <t>AT</t>
        </is>
      </c>
      <c r="D352" s="20" t="inlineStr">
        <is>
          <t>Non-Food</t>
        </is>
      </c>
      <c r="E352" s="12" t="n">
        <v>3744</v>
      </c>
      <c r="F352" s="12" t="n">
        <v>46800</v>
      </c>
      <c r="G352" s="12" t="n">
        <v>24.96</v>
      </c>
      <c r="H352" s="12" t="n">
        <v>15.6</v>
      </c>
    </row>
    <row r="353">
      <c r="A353" s="11" t="n">
        <v>45917</v>
      </c>
      <c r="B353" s="20" t="inlineStr">
        <is>
          <t>Elbe Handel GmbH</t>
        </is>
      </c>
      <c r="C353" s="20" t="inlineStr">
        <is>
          <t>DE-Nord</t>
        </is>
      </c>
      <c r="D353" s="20" t="inlineStr">
        <is>
          <t>Trockensortiment</t>
        </is>
      </c>
      <c r="E353" s="12" t="n">
        <v>110736</v>
      </c>
      <c r="F353" s="12" t="n">
        <v>204861.6</v>
      </c>
      <c r="G353" s="12" t="n">
        <v>223.01</v>
      </c>
      <c r="H353" s="12" t="n">
        <v>153.8</v>
      </c>
    </row>
    <row r="354">
      <c r="A354" s="11" t="n">
        <v>45917</v>
      </c>
      <c r="B354" s="20" t="inlineStr">
        <is>
          <t>Sachsen Handel GmbH</t>
        </is>
      </c>
      <c r="C354" s="20" t="inlineStr">
        <is>
          <t>DE-Ost</t>
        </is>
      </c>
      <c r="D354" s="20" t="inlineStr">
        <is>
          <t>Aktionsware</t>
        </is>
      </c>
      <c r="E354" s="12" t="n">
        <v>11448</v>
      </c>
      <c r="F354" s="12" t="n">
        <v>70977.60000000001</v>
      </c>
      <c r="G354" s="12" t="n">
        <v>47.7</v>
      </c>
      <c r="H354" s="12" t="n">
        <v>31.8</v>
      </c>
    </row>
    <row r="355">
      <c r="A355" s="11" t="n">
        <v>45918</v>
      </c>
      <c r="B355" s="20" t="inlineStr">
        <is>
          <t>Randstad Retail BV</t>
        </is>
      </c>
      <c r="C355" s="20" t="inlineStr">
        <is>
          <t>NL</t>
        </is>
      </c>
      <c r="D355" s="20" t="inlineStr">
        <is>
          <t>Kuehlware</t>
        </is>
      </c>
      <c r="E355" s="12" t="n">
        <v>20832</v>
      </c>
      <c r="F355" s="12" t="n">
        <v>70828.8</v>
      </c>
      <c r="G355" s="12" t="n">
        <v>56.42</v>
      </c>
      <c r="H355" s="12" t="n">
        <v>43.4</v>
      </c>
    </row>
    <row r="356">
      <c r="A356" s="11" t="n">
        <v>45919</v>
      </c>
      <c r="B356" s="20" t="inlineStr">
        <is>
          <t>Austria Markt GmbH</t>
        </is>
      </c>
      <c r="C356" s="20" t="inlineStr">
        <is>
          <t>AT</t>
        </is>
      </c>
      <c r="D356" s="20" t="inlineStr">
        <is>
          <t>Getraenke</t>
        </is>
      </c>
      <c r="E356" s="12" t="n">
        <v>75168</v>
      </c>
      <c r="F356" s="12" t="n">
        <v>71409.60000000001</v>
      </c>
      <c r="G356" s="12" t="n">
        <v>121.36</v>
      </c>
      <c r="H356" s="12" t="n">
        <v>78.3</v>
      </c>
    </row>
    <row r="357">
      <c r="A357" s="11" t="n">
        <v>45919</v>
      </c>
      <c r="B357" s="20" t="inlineStr">
        <is>
          <t>Mainpunkt Handel</t>
        </is>
      </c>
      <c r="C357" s="20" t="inlineStr">
        <is>
          <t>DE-Mitte</t>
        </is>
      </c>
      <c r="D357" s="20" t="inlineStr">
        <is>
          <t>Getraenke</t>
        </is>
      </c>
      <c r="E357" s="12" t="n">
        <v>156960</v>
      </c>
      <c r="F357" s="12" t="n">
        <v>149112</v>
      </c>
      <c r="G357" s="12" t="n">
        <v>253.43</v>
      </c>
      <c r="H357" s="12" t="n">
        <v>163.5</v>
      </c>
    </row>
    <row r="358">
      <c r="A358" s="11" t="n">
        <v>45919</v>
      </c>
      <c r="B358" s="20" t="inlineStr">
        <is>
          <t>Wisla Retail Sp.</t>
        </is>
      </c>
      <c r="C358" s="20" t="inlineStr">
        <is>
          <t>PL</t>
        </is>
      </c>
      <c r="D358" s="20" t="inlineStr">
        <is>
          <t>Kuehlware</t>
        </is>
      </c>
      <c r="E358" s="12" t="n">
        <v>6960</v>
      </c>
      <c r="F358" s="12" t="n">
        <v>23664</v>
      </c>
      <c r="G358" s="12" t="n">
        <v>18.85</v>
      </c>
      <c r="H358" s="12" t="n">
        <v>14.5</v>
      </c>
    </row>
    <row r="359">
      <c r="A359" s="11" t="n">
        <v>45920</v>
      </c>
      <c r="B359" s="20" t="inlineStr">
        <is>
          <t>Nordmarkt AG</t>
        </is>
      </c>
      <c r="C359" s="20" t="inlineStr">
        <is>
          <t>DE-Nord</t>
        </is>
      </c>
      <c r="D359" s="20" t="inlineStr">
        <is>
          <t>Aktionsware</t>
        </is>
      </c>
      <c r="E359" s="12" t="n">
        <v>12204</v>
      </c>
      <c r="F359" s="12" t="n">
        <v>75664.8</v>
      </c>
      <c r="G359" s="12" t="n">
        <v>50.85</v>
      </c>
      <c r="H359" s="12" t="n">
        <v>33.9</v>
      </c>
    </row>
    <row r="360">
      <c r="A360" s="11" t="n">
        <v>45920</v>
      </c>
      <c r="B360" s="20" t="inlineStr">
        <is>
          <t>Spree Markt AG</t>
        </is>
      </c>
      <c r="C360" s="20" t="inlineStr">
        <is>
          <t>DE-Ost</t>
        </is>
      </c>
      <c r="D360" s="20" t="inlineStr">
        <is>
          <t>Getraenke</t>
        </is>
      </c>
      <c r="E360" s="12" t="n">
        <v>137376</v>
      </c>
      <c r="F360" s="12" t="n">
        <v>130507.2</v>
      </c>
      <c r="G360" s="12" t="n">
        <v>221.81</v>
      </c>
      <c r="H360" s="12" t="n">
        <v>143.1</v>
      </c>
    </row>
    <row r="361">
      <c r="A361" s="11" t="n">
        <v>45923</v>
      </c>
      <c r="B361" s="20" t="inlineStr">
        <is>
          <t>Mainpunkt Handel</t>
        </is>
      </c>
      <c r="C361" s="20" t="inlineStr">
        <is>
          <t>DE-Mitte</t>
        </is>
      </c>
      <c r="D361" s="20" t="inlineStr">
        <is>
          <t>Non-Food</t>
        </is>
      </c>
      <c r="E361" s="12" t="n">
        <v>8760</v>
      </c>
      <c r="F361" s="12" t="n">
        <v>109500</v>
      </c>
      <c r="G361" s="12" t="n">
        <v>58.4</v>
      </c>
      <c r="H361" s="12" t="n">
        <v>36.5</v>
      </c>
    </row>
    <row r="362">
      <c r="A362" s="11" t="n">
        <v>45924</v>
      </c>
      <c r="B362" s="20" t="inlineStr">
        <is>
          <t>Spree Markt AG</t>
        </is>
      </c>
      <c r="C362" s="20" t="inlineStr">
        <is>
          <t>DE-Ost</t>
        </is>
      </c>
      <c r="D362" s="20" t="inlineStr">
        <is>
          <t>Kuehlware</t>
        </is>
      </c>
      <c r="E362" s="12" t="n">
        <v>22032</v>
      </c>
      <c r="F362" s="12" t="n">
        <v>74908.8</v>
      </c>
      <c r="G362" s="12" t="n">
        <v>59.67</v>
      </c>
      <c r="H362" s="12" t="n">
        <v>45.9</v>
      </c>
    </row>
    <row r="363">
      <c r="A363" s="11" t="n">
        <v>45924</v>
      </c>
      <c r="B363" s="20" t="inlineStr">
        <is>
          <t>Wisla Retail Sp.</t>
        </is>
      </c>
      <c r="C363" s="20" t="inlineStr">
        <is>
          <t>PL</t>
        </is>
      </c>
      <c r="D363" s="20" t="inlineStr">
        <is>
          <t>Trockensortiment</t>
        </is>
      </c>
      <c r="E363" s="12" t="n">
        <v>25992</v>
      </c>
      <c r="F363" s="12" t="n">
        <v>48085.2</v>
      </c>
      <c r="G363" s="12" t="n">
        <v>52.34</v>
      </c>
      <c r="H363" s="12" t="n">
        <v>36.1</v>
      </c>
    </row>
    <row r="364">
      <c r="A364" s="11" t="n">
        <v>45925</v>
      </c>
      <c r="B364" s="20" t="inlineStr">
        <is>
          <t>Hessen Vertrieb GmbH</t>
        </is>
      </c>
      <c r="C364" s="20" t="inlineStr">
        <is>
          <t>DE-Mitte</t>
        </is>
      </c>
      <c r="D364" s="20" t="inlineStr">
        <is>
          <t>Aktionsware</t>
        </is>
      </c>
      <c r="E364" s="12" t="n">
        <v>10980</v>
      </c>
      <c r="F364" s="12" t="n">
        <v>68076</v>
      </c>
      <c r="G364" s="12" t="n">
        <v>45.75</v>
      </c>
      <c r="H364" s="12" t="n">
        <v>30.5</v>
      </c>
    </row>
    <row r="365">
      <c r="A365" s="11" t="n">
        <v>45925</v>
      </c>
      <c r="B365" s="20" t="inlineStr">
        <is>
          <t>Donau Handel AG</t>
        </is>
      </c>
      <c r="C365" s="20" t="inlineStr">
        <is>
          <t>DE-Sued</t>
        </is>
      </c>
      <c r="D365" s="20" t="inlineStr">
        <is>
          <t>Kuehlware</t>
        </is>
      </c>
      <c r="E365" s="12" t="n">
        <v>32448</v>
      </c>
      <c r="F365" s="12" t="n">
        <v>110323.2</v>
      </c>
      <c r="G365" s="12" t="n">
        <v>87.88</v>
      </c>
      <c r="H365" s="12" t="n">
        <v>67.59999999999999</v>
      </c>
    </row>
    <row r="366">
      <c r="A366" s="11" t="n">
        <v>45931</v>
      </c>
      <c r="B366" s="20" t="inlineStr">
        <is>
          <t>Mainpunkt Handel</t>
        </is>
      </c>
      <c r="C366" s="20" t="inlineStr">
        <is>
          <t>DE-Mitte</t>
        </is>
      </c>
      <c r="D366" s="20" t="inlineStr">
        <is>
          <t>Aktionsware</t>
        </is>
      </c>
      <c r="E366" s="12" t="n">
        <v>14364</v>
      </c>
      <c r="F366" s="12" t="n">
        <v>89056.8</v>
      </c>
      <c r="G366" s="12" t="n">
        <v>59.85</v>
      </c>
      <c r="H366" s="12" t="n">
        <v>39.9</v>
      </c>
    </row>
    <row r="367">
      <c r="A367" s="11" t="n">
        <v>45932</v>
      </c>
      <c r="B367" s="20" t="inlineStr">
        <is>
          <t>Rheinland Retail SE</t>
        </is>
      </c>
      <c r="C367" s="20" t="inlineStr">
        <is>
          <t>DE-West</t>
        </is>
      </c>
      <c r="D367" s="20" t="inlineStr">
        <is>
          <t>Getraenke</t>
        </is>
      </c>
      <c r="E367" s="12" t="n">
        <v>209760</v>
      </c>
      <c r="F367" s="12" t="n">
        <v>199272</v>
      </c>
      <c r="G367" s="12" t="n">
        <v>338.68</v>
      </c>
      <c r="H367" s="12" t="n">
        <v>218.5</v>
      </c>
    </row>
    <row r="368">
      <c r="A368" s="11" t="n">
        <v>45933</v>
      </c>
      <c r="B368" s="20" t="inlineStr">
        <is>
          <t>Mainpunkt Handel</t>
        </is>
      </c>
      <c r="C368" s="20" t="inlineStr">
        <is>
          <t>DE-Mitte</t>
        </is>
      </c>
      <c r="D368" s="20" t="inlineStr">
        <is>
          <t>Getraenke</t>
        </is>
      </c>
      <c r="E368" s="12" t="n">
        <v>153600</v>
      </c>
      <c r="F368" s="12" t="n">
        <v>145920</v>
      </c>
      <c r="G368" s="12" t="n">
        <v>248</v>
      </c>
      <c r="H368" s="12" t="n">
        <v>160</v>
      </c>
    </row>
    <row r="369">
      <c r="A369" s="11" t="n">
        <v>45933</v>
      </c>
      <c r="B369" s="20" t="inlineStr">
        <is>
          <t>Westfilial AG</t>
        </is>
      </c>
      <c r="C369" s="20" t="inlineStr">
        <is>
          <t>DE-West</t>
        </is>
      </c>
      <c r="D369" s="20" t="inlineStr">
        <is>
          <t>Kuehlware</t>
        </is>
      </c>
      <c r="E369" s="12" t="n">
        <v>47040</v>
      </c>
      <c r="F369" s="12" t="n">
        <v>159936</v>
      </c>
      <c r="G369" s="12" t="n">
        <v>127.4</v>
      </c>
      <c r="H369" s="12" t="n">
        <v>98</v>
      </c>
    </row>
    <row r="370">
      <c r="A370" s="11" t="n">
        <v>45934</v>
      </c>
      <c r="B370" s="20" t="inlineStr">
        <is>
          <t>Tirol Handel AG</t>
        </is>
      </c>
      <c r="C370" s="20" t="inlineStr">
        <is>
          <t>AT</t>
        </is>
      </c>
      <c r="D370" s="20" t="inlineStr">
        <is>
          <t>Kuehlware</t>
        </is>
      </c>
      <c r="E370" s="12" t="n">
        <v>11760</v>
      </c>
      <c r="F370" s="12" t="n">
        <v>39984</v>
      </c>
      <c r="G370" s="12" t="n">
        <v>31.85</v>
      </c>
      <c r="H370" s="12" t="n">
        <v>24.5</v>
      </c>
    </row>
    <row r="371">
      <c r="A371" s="11" t="n">
        <v>45935</v>
      </c>
      <c r="B371" s="20" t="inlineStr">
        <is>
          <t>Austria Markt GmbH</t>
        </is>
      </c>
      <c r="C371" s="20" t="inlineStr">
        <is>
          <t>AT</t>
        </is>
      </c>
      <c r="D371" s="20" t="inlineStr">
        <is>
          <t>Aktionsware</t>
        </is>
      </c>
      <c r="E371" s="12" t="n">
        <v>5832</v>
      </c>
      <c r="F371" s="12" t="n">
        <v>36158.4</v>
      </c>
      <c r="G371" s="12" t="n">
        <v>24.3</v>
      </c>
      <c r="H371" s="12" t="n">
        <v>16.2</v>
      </c>
    </row>
    <row r="372">
      <c r="A372" s="11" t="n">
        <v>45935</v>
      </c>
      <c r="B372" s="20" t="inlineStr">
        <is>
          <t>Odra Handel Sp.</t>
        </is>
      </c>
      <c r="C372" s="20" t="inlineStr">
        <is>
          <t>PL</t>
        </is>
      </c>
      <c r="D372" s="20" t="inlineStr">
        <is>
          <t>Kuehlware</t>
        </is>
      </c>
      <c r="E372" s="12" t="n">
        <v>6432</v>
      </c>
      <c r="F372" s="12" t="n">
        <v>21868.8</v>
      </c>
      <c r="G372" s="12" t="n">
        <v>17.42</v>
      </c>
      <c r="H372" s="12" t="n">
        <v>13.4</v>
      </c>
    </row>
    <row r="373">
      <c r="A373" s="11" t="n">
        <v>45937</v>
      </c>
      <c r="B373" s="20" t="inlineStr">
        <is>
          <t>Rheinland Retail SE</t>
        </is>
      </c>
      <c r="C373" s="20" t="inlineStr">
        <is>
          <t>DE-West</t>
        </is>
      </c>
      <c r="D373" s="20" t="inlineStr">
        <is>
          <t>Non-Food</t>
        </is>
      </c>
      <c r="E373" s="12" t="n">
        <v>13896</v>
      </c>
      <c r="F373" s="12" t="n">
        <v>173700</v>
      </c>
      <c r="G373" s="12" t="n">
        <v>92.64</v>
      </c>
      <c r="H373" s="12" t="n">
        <v>57.9</v>
      </c>
    </row>
    <row r="374">
      <c r="A374" s="11" t="n">
        <v>45937</v>
      </c>
      <c r="B374" s="20" t="inlineStr">
        <is>
          <t>Wisla Retail Sp.</t>
        </is>
      </c>
      <c r="C374" s="20" t="inlineStr">
        <is>
          <t>PL</t>
        </is>
      </c>
      <c r="D374" s="20" t="inlineStr">
        <is>
          <t>Getraenke</t>
        </is>
      </c>
      <c r="E374" s="12" t="n">
        <v>39072</v>
      </c>
      <c r="F374" s="12" t="n">
        <v>37118.4</v>
      </c>
      <c r="G374" s="12" t="n">
        <v>63.09</v>
      </c>
      <c r="H374" s="12" t="n">
        <v>40.7</v>
      </c>
    </row>
    <row r="375">
      <c r="A375" s="11" t="n">
        <v>45938</v>
      </c>
      <c r="B375" s="20" t="inlineStr">
        <is>
          <t>Alpenmarkt GmbH</t>
        </is>
      </c>
      <c r="C375" s="20" t="inlineStr">
        <is>
          <t>DE-Sued</t>
        </is>
      </c>
      <c r="D375" s="20" t="inlineStr">
        <is>
          <t>Kuehlware</t>
        </is>
      </c>
      <c r="E375" s="12" t="n">
        <v>40224</v>
      </c>
      <c r="F375" s="12" t="n">
        <v>136761.6</v>
      </c>
      <c r="G375" s="12" t="n">
        <v>108.94</v>
      </c>
      <c r="H375" s="12" t="n">
        <v>83.8</v>
      </c>
    </row>
    <row r="376">
      <c r="A376" s="11" t="n">
        <v>45939</v>
      </c>
      <c r="B376" s="20" t="inlineStr">
        <is>
          <t>Mainpunkt Handel</t>
        </is>
      </c>
      <c r="C376" s="20" t="inlineStr">
        <is>
          <t>DE-Mitte</t>
        </is>
      </c>
      <c r="D376" s="20" t="inlineStr">
        <is>
          <t>Kuehlware</t>
        </is>
      </c>
      <c r="E376" s="12" t="n">
        <v>24768</v>
      </c>
      <c r="F376" s="12" t="n">
        <v>84211.2</v>
      </c>
      <c r="G376" s="12" t="n">
        <v>67.08</v>
      </c>
      <c r="H376" s="12" t="n">
        <v>51.6</v>
      </c>
    </row>
    <row r="377">
      <c r="A377" s="11" t="n">
        <v>45939</v>
      </c>
      <c r="B377" s="20" t="inlineStr">
        <is>
          <t>Mainpunkt Handel</t>
        </is>
      </c>
      <c r="C377" s="20" t="inlineStr">
        <is>
          <t>DE-Mitte</t>
        </is>
      </c>
      <c r="D377" s="20" t="inlineStr">
        <is>
          <t>Non-Food</t>
        </is>
      </c>
      <c r="E377" s="12" t="n">
        <v>8520</v>
      </c>
      <c r="F377" s="12" t="n">
        <v>106500</v>
      </c>
      <c r="G377" s="12" t="n">
        <v>56.8</v>
      </c>
      <c r="H377" s="12" t="n">
        <v>35.5</v>
      </c>
    </row>
    <row r="378">
      <c r="A378" s="11" t="n">
        <v>45940</v>
      </c>
      <c r="B378" s="20" t="inlineStr">
        <is>
          <t>Ruhr Frische GmbH</t>
        </is>
      </c>
      <c r="C378" s="20" t="inlineStr">
        <is>
          <t>DE-West</t>
        </is>
      </c>
      <c r="D378" s="20" t="inlineStr">
        <is>
          <t>Trockensortiment</t>
        </is>
      </c>
      <c r="E378" s="12" t="n">
        <v>169128</v>
      </c>
      <c r="F378" s="12" t="n">
        <v>312886.8</v>
      </c>
      <c r="G378" s="12" t="n">
        <v>340.61</v>
      </c>
      <c r="H378" s="12" t="n">
        <v>234.9</v>
      </c>
    </row>
    <row r="379">
      <c r="A379" s="11" t="n">
        <v>45940</v>
      </c>
      <c r="B379" s="20" t="inlineStr">
        <is>
          <t>Odra Handel Sp.</t>
        </is>
      </c>
      <c r="C379" s="20" t="inlineStr">
        <is>
          <t>PL</t>
        </is>
      </c>
      <c r="D379" s="20" t="inlineStr">
        <is>
          <t>Aktionsware</t>
        </is>
      </c>
      <c r="E379" s="12" t="n">
        <v>28404</v>
      </c>
      <c r="F379" s="12" t="n">
        <v>176104.8</v>
      </c>
      <c r="G379" s="12" t="n">
        <v>118.35</v>
      </c>
      <c r="H379" s="12" t="n">
        <v>78.90000000000001</v>
      </c>
    </row>
    <row r="380">
      <c r="A380" s="11" t="n">
        <v>45941</v>
      </c>
      <c r="B380" s="20" t="inlineStr">
        <is>
          <t>Tirol Handel AG</t>
        </is>
      </c>
      <c r="C380" s="20" t="inlineStr">
        <is>
          <t>AT</t>
        </is>
      </c>
      <c r="D380" s="20" t="inlineStr">
        <is>
          <t>Trockensortiment</t>
        </is>
      </c>
      <c r="E380" s="12" t="n">
        <v>29664</v>
      </c>
      <c r="F380" s="12" t="n">
        <v>54878.4</v>
      </c>
      <c r="G380" s="12" t="n">
        <v>59.74</v>
      </c>
      <c r="H380" s="12" t="n">
        <v>41.2</v>
      </c>
    </row>
    <row r="381">
      <c r="A381" s="11" t="n">
        <v>45942</v>
      </c>
      <c r="B381" s="20" t="inlineStr">
        <is>
          <t>Austria Markt GmbH</t>
        </is>
      </c>
      <c r="C381" s="20" t="inlineStr">
        <is>
          <t>AT</t>
        </is>
      </c>
      <c r="D381" s="20" t="inlineStr">
        <is>
          <t>Getraenke</t>
        </is>
      </c>
      <c r="E381" s="12" t="n">
        <v>64128</v>
      </c>
      <c r="F381" s="12" t="n">
        <v>60921.6</v>
      </c>
      <c r="G381" s="12" t="n">
        <v>103.54</v>
      </c>
      <c r="H381" s="12" t="n">
        <v>66.8</v>
      </c>
    </row>
    <row r="382">
      <c r="A382" s="11" t="n">
        <v>45943</v>
      </c>
      <c r="B382" s="20" t="inlineStr">
        <is>
          <t>Randstad Retail BV</t>
        </is>
      </c>
      <c r="C382" s="20" t="inlineStr">
        <is>
          <t>NL</t>
        </is>
      </c>
      <c r="D382" s="20" t="inlineStr">
        <is>
          <t>Non-Food</t>
        </is>
      </c>
      <c r="E382" s="12" t="n">
        <v>5664</v>
      </c>
      <c r="F382" s="12" t="n">
        <v>70800</v>
      </c>
      <c r="G382" s="12" t="n">
        <v>37.76</v>
      </c>
      <c r="H382" s="12" t="n">
        <v>23.6</v>
      </c>
    </row>
    <row r="383">
      <c r="A383" s="11" t="n">
        <v>45944</v>
      </c>
      <c r="B383" s="20" t="inlineStr">
        <is>
          <t>Spree Markt AG</t>
        </is>
      </c>
      <c r="C383" s="20" t="inlineStr">
        <is>
          <t>DE-Ost</t>
        </is>
      </c>
      <c r="D383" s="20" t="inlineStr">
        <is>
          <t>Non-Food</t>
        </is>
      </c>
      <c r="E383" s="12" t="n">
        <v>6120</v>
      </c>
      <c r="F383" s="12" t="n">
        <v>76500</v>
      </c>
      <c r="G383" s="12" t="n">
        <v>40.8</v>
      </c>
      <c r="H383" s="12" t="n">
        <v>25.5</v>
      </c>
    </row>
    <row r="384">
      <c r="A384" s="11" t="n">
        <v>45944</v>
      </c>
      <c r="B384" s="20" t="inlineStr">
        <is>
          <t>Rheinland Retail SE</t>
        </is>
      </c>
      <c r="C384" s="20" t="inlineStr">
        <is>
          <t>DE-West</t>
        </is>
      </c>
      <c r="D384" s="20" t="inlineStr">
        <is>
          <t>Aktionsware</t>
        </is>
      </c>
      <c r="E384" s="12" t="n">
        <v>23364</v>
      </c>
      <c r="F384" s="12" t="n">
        <v>144856.8</v>
      </c>
      <c r="G384" s="12" t="n">
        <v>97.34999999999999</v>
      </c>
      <c r="H384" s="12" t="n">
        <v>64.90000000000001</v>
      </c>
    </row>
    <row r="385">
      <c r="A385" s="11" t="n">
        <v>45944</v>
      </c>
      <c r="B385" s="20" t="inlineStr">
        <is>
          <t>Randstad Retail BV</t>
        </is>
      </c>
      <c r="C385" s="20" t="inlineStr">
        <is>
          <t>NL</t>
        </is>
      </c>
      <c r="D385" s="20" t="inlineStr">
        <is>
          <t>Kuehlware</t>
        </is>
      </c>
      <c r="E385" s="12" t="n">
        <v>20448</v>
      </c>
      <c r="F385" s="12" t="n">
        <v>69523.2</v>
      </c>
      <c r="G385" s="12" t="n">
        <v>55.38</v>
      </c>
      <c r="H385" s="12" t="n">
        <v>42.6</v>
      </c>
    </row>
    <row r="386">
      <c r="A386" s="11" t="n">
        <v>45946</v>
      </c>
      <c r="B386" s="20" t="inlineStr">
        <is>
          <t>Spree Markt AG</t>
        </is>
      </c>
      <c r="C386" s="20" t="inlineStr">
        <is>
          <t>DE-Ost</t>
        </is>
      </c>
      <c r="D386" s="20" t="inlineStr">
        <is>
          <t>Aktionsware</t>
        </is>
      </c>
      <c r="E386" s="12" t="n">
        <v>13032</v>
      </c>
      <c r="F386" s="12" t="n">
        <v>80798.39999999999</v>
      </c>
      <c r="G386" s="12" t="n">
        <v>54.3</v>
      </c>
      <c r="H386" s="12" t="n">
        <v>36.2</v>
      </c>
    </row>
    <row r="387">
      <c r="A387" s="11" t="n">
        <v>45946</v>
      </c>
      <c r="B387" s="20" t="inlineStr">
        <is>
          <t>Randstad Retail BV</t>
        </is>
      </c>
      <c r="C387" s="20" t="inlineStr">
        <is>
          <t>NL</t>
        </is>
      </c>
      <c r="D387" s="20" t="inlineStr">
        <is>
          <t>Getraenke</t>
        </is>
      </c>
      <c r="E387" s="12" t="n">
        <v>49344</v>
      </c>
      <c r="F387" s="12" t="n">
        <v>46876.8</v>
      </c>
      <c r="G387" s="12" t="n">
        <v>79.67</v>
      </c>
      <c r="H387" s="12" t="n">
        <v>51.4</v>
      </c>
    </row>
    <row r="388">
      <c r="A388" s="11" t="n">
        <v>45947</v>
      </c>
      <c r="B388" s="20" t="inlineStr">
        <is>
          <t>Mainpunkt Handel</t>
        </is>
      </c>
      <c r="C388" s="20" t="inlineStr">
        <is>
          <t>DE-Mitte</t>
        </is>
      </c>
      <c r="D388" s="20" t="inlineStr">
        <is>
          <t>Trockensortiment</t>
        </is>
      </c>
      <c r="E388" s="12" t="n">
        <v>84456</v>
      </c>
      <c r="F388" s="12" t="n">
        <v>156243.6</v>
      </c>
      <c r="G388" s="12" t="n">
        <v>170.08</v>
      </c>
      <c r="H388" s="12" t="n">
        <v>117.3</v>
      </c>
    </row>
    <row r="389">
      <c r="A389" s="11" t="n">
        <v>45947</v>
      </c>
      <c r="B389" s="20" t="inlineStr">
        <is>
          <t>Sachsen Handel GmbH</t>
        </is>
      </c>
      <c r="C389" s="20" t="inlineStr">
        <is>
          <t>DE-Ost</t>
        </is>
      </c>
      <c r="D389" s="20" t="inlineStr">
        <is>
          <t>Getraenke</t>
        </is>
      </c>
      <c r="E389" s="12" t="n">
        <v>135168</v>
      </c>
      <c r="F389" s="12" t="n">
        <v>128409.6</v>
      </c>
      <c r="G389" s="12" t="n">
        <v>218.24</v>
      </c>
      <c r="H389" s="12" t="n">
        <v>140.8</v>
      </c>
    </row>
    <row r="390">
      <c r="A390" s="11" t="n">
        <v>45947</v>
      </c>
      <c r="B390" s="20" t="inlineStr">
        <is>
          <t>Randstad Retail BV</t>
        </is>
      </c>
      <c r="C390" s="20" t="inlineStr">
        <is>
          <t>NL</t>
        </is>
      </c>
      <c r="D390" s="20" t="inlineStr">
        <is>
          <t>Aktionsware</t>
        </is>
      </c>
      <c r="E390" s="12" t="n">
        <v>7596</v>
      </c>
      <c r="F390" s="12" t="n">
        <v>47095.2</v>
      </c>
      <c r="G390" s="12" t="n">
        <v>31.65</v>
      </c>
      <c r="H390" s="12" t="n">
        <v>21.1</v>
      </c>
    </row>
    <row r="391">
      <c r="A391" s="11" t="n">
        <v>45948</v>
      </c>
      <c r="B391" s="20" t="inlineStr">
        <is>
          <t>Tirol Handel AG</t>
        </is>
      </c>
      <c r="C391" s="20" t="inlineStr">
        <is>
          <t>AT</t>
        </is>
      </c>
      <c r="D391" s="20" t="inlineStr">
        <is>
          <t>Non-Food</t>
        </is>
      </c>
      <c r="E391" s="12" t="n">
        <v>4080</v>
      </c>
      <c r="F391" s="12" t="n">
        <v>51000</v>
      </c>
      <c r="G391" s="12" t="n">
        <v>27.2</v>
      </c>
      <c r="H391" s="12" t="n">
        <v>17</v>
      </c>
    </row>
    <row r="392">
      <c r="A392" s="11" t="n">
        <v>45948</v>
      </c>
      <c r="B392" s="20" t="inlineStr">
        <is>
          <t>Elbe Handel GmbH</t>
        </is>
      </c>
      <c r="C392" s="20" t="inlineStr">
        <is>
          <t>DE-Nord</t>
        </is>
      </c>
      <c r="D392" s="20" t="inlineStr">
        <is>
          <t>Aktionsware</t>
        </is>
      </c>
      <c r="E392" s="12" t="n">
        <v>14436</v>
      </c>
      <c r="F392" s="12" t="n">
        <v>89503.2</v>
      </c>
      <c r="G392" s="12" t="n">
        <v>60.15</v>
      </c>
      <c r="H392" s="12" t="n">
        <v>40.1</v>
      </c>
    </row>
    <row r="393">
      <c r="A393" s="11" t="n">
        <v>45949</v>
      </c>
      <c r="B393" s="20" t="inlineStr">
        <is>
          <t>Spree Markt AG</t>
        </is>
      </c>
      <c r="C393" s="20" t="inlineStr">
        <is>
          <t>DE-Ost</t>
        </is>
      </c>
      <c r="D393" s="20" t="inlineStr">
        <is>
          <t>Kuehlware</t>
        </is>
      </c>
      <c r="E393" s="12" t="n">
        <v>27984</v>
      </c>
      <c r="F393" s="12" t="n">
        <v>95145.60000000001</v>
      </c>
      <c r="G393" s="12" t="n">
        <v>75.79000000000001</v>
      </c>
      <c r="H393" s="12" t="n">
        <v>58.3</v>
      </c>
    </row>
    <row r="394">
      <c r="A394" s="11" t="n">
        <v>45949</v>
      </c>
      <c r="B394" s="20" t="inlineStr">
        <is>
          <t>Donau Handel AG</t>
        </is>
      </c>
      <c r="C394" s="20" t="inlineStr">
        <is>
          <t>DE-Sued</t>
        </is>
      </c>
      <c r="D394" s="20" t="inlineStr">
        <is>
          <t>Trockensortiment</t>
        </is>
      </c>
      <c r="E394" s="12" t="n">
        <v>133776</v>
      </c>
      <c r="F394" s="12" t="n">
        <v>247485.6</v>
      </c>
      <c r="G394" s="12" t="n">
        <v>269.41</v>
      </c>
      <c r="H394" s="12" t="n">
        <v>185.8</v>
      </c>
    </row>
    <row r="395">
      <c r="A395" s="11" t="n">
        <v>45950</v>
      </c>
      <c r="B395" s="20" t="inlineStr">
        <is>
          <t>Wisla Retail Sp.</t>
        </is>
      </c>
      <c r="C395" s="20" t="inlineStr">
        <is>
          <t>PL</t>
        </is>
      </c>
      <c r="D395" s="20" t="inlineStr">
        <is>
          <t>Non-Food</t>
        </is>
      </c>
      <c r="E395" s="12" t="n">
        <v>10128</v>
      </c>
      <c r="F395" s="12" t="n">
        <v>126600</v>
      </c>
      <c r="G395" s="12" t="n">
        <v>67.52</v>
      </c>
      <c r="H395" s="12" t="n">
        <v>42.2</v>
      </c>
    </row>
    <row r="396">
      <c r="A396" s="11" t="n">
        <v>45952</v>
      </c>
      <c r="B396" s="20" t="inlineStr">
        <is>
          <t>Kuestenlager KG</t>
        </is>
      </c>
      <c r="C396" s="20" t="inlineStr">
        <is>
          <t>DE-Nord</t>
        </is>
      </c>
      <c r="D396" s="20" t="inlineStr">
        <is>
          <t>Getraenke</t>
        </is>
      </c>
      <c r="E396" s="12" t="n">
        <v>165984</v>
      </c>
      <c r="F396" s="12" t="n">
        <v>157684.8</v>
      </c>
      <c r="G396" s="12" t="n">
        <v>268</v>
      </c>
      <c r="H396" s="12" t="n">
        <v>172.9</v>
      </c>
    </row>
    <row r="397">
      <c r="A397" s="11" t="n">
        <v>45952</v>
      </c>
      <c r="B397" s="20" t="inlineStr">
        <is>
          <t>Donau Handel AG</t>
        </is>
      </c>
      <c r="C397" s="20" t="inlineStr">
        <is>
          <t>DE-Sued</t>
        </is>
      </c>
      <c r="D397" s="20" t="inlineStr">
        <is>
          <t>Getraenke</t>
        </is>
      </c>
      <c r="E397" s="12" t="n">
        <v>238272</v>
      </c>
      <c r="F397" s="12" t="n">
        <v>226358.4</v>
      </c>
      <c r="G397" s="12" t="n">
        <v>384.71</v>
      </c>
      <c r="H397" s="12" t="n">
        <v>248.2</v>
      </c>
    </row>
    <row r="398">
      <c r="A398" s="11" t="n">
        <v>45953</v>
      </c>
      <c r="B398" s="20" t="inlineStr">
        <is>
          <t>Alpenmarkt GmbH</t>
        </is>
      </c>
      <c r="C398" s="20" t="inlineStr">
        <is>
          <t>DE-Sued</t>
        </is>
      </c>
      <c r="D398" s="20" t="inlineStr">
        <is>
          <t>Non-Food</t>
        </is>
      </c>
      <c r="E398" s="12" t="n">
        <v>10440</v>
      </c>
      <c r="F398" s="12" t="n">
        <v>130500</v>
      </c>
      <c r="G398" s="12" t="n">
        <v>69.59999999999999</v>
      </c>
      <c r="H398" s="12" t="n">
        <v>43.5</v>
      </c>
    </row>
    <row r="399">
      <c r="A399" s="11" t="n">
        <v>45953</v>
      </c>
      <c r="B399" s="20" t="inlineStr">
        <is>
          <t>Wisla Retail Sp.</t>
        </is>
      </c>
      <c r="C399" s="20" t="inlineStr">
        <is>
          <t>PL</t>
        </is>
      </c>
      <c r="D399" s="20" t="inlineStr">
        <is>
          <t>Trockensortiment</t>
        </is>
      </c>
      <c r="E399" s="12" t="n">
        <v>27072</v>
      </c>
      <c r="F399" s="12" t="n">
        <v>50083.2</v>
      </c>
      <c r="G399" s="12" t="n">
        <v>54.52</v>
      </c>
      <c r="H399" s="12" t="n">
        <v>37.6</v>
      </c>
    </row>
    <row r="400">
      <c r="A400" s="11" t="n">
        <v>45954</v>
      </c>
      <c r="B400" s="20" t="inlineStr">
        <is>
          <t>Kuestenlager KG</t>
        </is>
      </c>
      <c r="C400" s="20" t="inlineStr">
        <is>
          <t>DE-Nord</t>
        </is>
      </c>
      <c r="D400" s="20" t="inlineStr">
        <is>
          <t>Kuehlware</t>
        </is>
      </c>
      <c r="E400" s="12" t="n">
        <v>50688</v>
      </c>
      <c r="F400" s="12" t="n">
        <v>172339.2</v>
      </c>
      <c r="G400" s="12" t="n">
        <v>137.28</v>
      </c>
      <c r="H400" s="12" t="n">
        <v>105.6</v>
      </c>
    </row>
    <row r="401">
      <c r="A401" s="11" t="n">
        <v>45954</v>
      </c>
      <c r="B401" s="20" t="inlineStr">
        <is>
          <t>Elbe Handel GmbH</t>
        </is>
      </c>
      <c r="C401" s="20" t="inlineStr">
        <is>
          <t>DE-Nord</t>
        </is>
      </c>
      <c r="D401" s="20" t="inlineStr">
        <is>
          <t>Non-Food</t>
        </is>
      </c>
      <c r="E401" s="12" t="n">
        <v>9120</v>
      </c>
      <c r="F401" s="12" t="n">
        <v>114000</v>
      </c>
      <c r="G401" s="12" t="n">
        <v>60.8</v>
      </c>
      <c r="H401" s="12" t="n">
        <v>38</v>
      </c>
    </row>
    <row r="402">
      <c r="A402" s="11" t="n">
        <v>45954</v>
      </c>
      <c r="B402" s="20" t="inlineStr">
        <is>
          <t>Donau Handel AG</t>
        </is>
      </c>
      <c r="C402" s="20" t="inlineStr">
        <is>
          <t>DE-Sued</t>
        </is>
      </c>
      <c r="D402" s="20" t="inlineStr">
        <is>
          <t>Aktionsware</t>
        </is>
      </c>
      <c r="E402" s="12" t="n">
        <v>17496</v>
      </c>
      <c r="F402" s="12" t="n">
        <v>108475.2</v>
      </c>
      <c r="G402" s="12" t="n">
        <v>72.90000000000001</v>
      </c>
      <c r="H402" s="12" t="n">
        <v>48.6</v>
      </c>
    </row>
    <row r="403">
      <c r="A403" s="11" t="n">
        <v>45955</v>
      </c>
      <c r="B403" s="20" t="inlineStr">
        <is>
          <t>Kuestenlager KG</t>
        </is>
      </c>
      <c r="C403" s="20" t="inlineStr">
        <is>
          <t>DE-Nord</t>
        </is>
      </c>
      <c r="D403" s="20" t="inlineStr">
        <is>
          <t>Trockensortiment</t>
        </is>
      </c>
      <c r="E403" s="12" t="n">
        <v>108792</v>
      </c>
      <c r="F403" s="12" t="n">
        <v>201265.2</v>
      </c>
      <c r="G403" s="12" t="n">
        <v>219.09</v>
      </c>
      <c r="H403" s="12" t="n">
        <v>151.1</v>
      </c>
    </row>
    <row r="404">
      <c r="A404" s="11" t="n">
        <v>45955</v>
      </c>
      <c r="B404" s="20" t="inlineStr">
        <is>
          <t>Spree Markt AG</t>
        </is>
      </c>
      <c r="C404" s="20" t="inlineStr">
        <is>
          <t>DE-Ost</t>
        </is>
      </c>
      <c r="D404" s="20" t="inlineStr">
        <is>
          <t>Trockensortiment</t>
        </is>
      </c>
      <c r="E404" s="12" t="n">
        <v>62424</v>
      </c>
      <c r="F404" s="12" t="n">
        <v>115484.4</v>
      </c>
      <c r="G404" s="12" t="n">
        <v>125.72</v>
      </c>
      <c r="H404" s="12" t="n">
        <v>86.7</v>
      </c>
    </row>
    <row r="405">
      <c r="A405" s="11" t="n">
        <v>45955</v>
      </c>
      <c r="B405" s="20" t="inlineStr">
        <is>
          <t>Randstad Retail BV</t>
        </is>
      </c>
      <c r="C405" s="20" t="inlineStr">
        <is>
          <t>NL</t>
        </is>
      </c>
      <c r="D405" s="20" t="inlineStr">
        <is>
          <t>Trockensortiment</t>
        </is>
      </c>
      <c r="E405" s="12" t="n">
        <v>43344</v>
      </c>
      <c r="F405" s="12" t="n">
        <v>80186.39999999999</v>
      </c>
      <c r="G405" s="12" t="n">
        <v>87.29000000000001</v>
      </c>
      <c r="H405" s="12" t="n">
        <v>60.2</v>
      </c>
    </row>
    <row r="406">
      <c r="A406" s="11" t="n">
        <v>45963</v>
      </c>
      <c r="B406" s="20" t="inlineStr">
        <is>
          <t>Kuestenlager KG</t>
        </is>
      </c>
      <c r="C406" s="20" t="inlineStr">
        <is>
          <t>DE-Nord</t>
        </is>
      </c>
      <c r="D406" s="20" t="inlineStr">
        <is>
          <t>Aktionsware</t>
        </is>
      </c>
      <c r="E406" s="12" t="n">
        <v>15876</v>
      </c>
      <c r="F406" s="12" t="n">
        <v>98431.2</v>
      </c>
      <c r="G406" s="12" t="n">
        <v>66.15000000000001</v>
      </c>
      <c r="H406" s="12" t="n">
        <v>44.1</v>
      </c>
    </row>
    <row r="407">
      <c r="A407" s="11" t="n">
        <v>45963</v>
      </c>
      <c r="B407" s="20" t="inlineStr">
        <is>
          <t>Ruhr Frische GmbH</t>
        </is>
      </c>
      <c r="C407" s="20" t="inlineStr">
        <is>
          <t>DE-West</t>
        </is>
      </c>
      <c r="D407" s="20" t="inlineStr">
        <is>
          <t>Getraenke</t>
        </is>
      </c>
      <c r="E407" s="12" t="n">
        <v>216000</v>
      </c>
      <c r="F407" s="12" t="n">
        <v>205200</v>
      </c>
      <c r="G407" s="12" t="n">
        <v>348.75</v>
      </c>
      <c r="H407" s="12" t="n">
        <v>225</v>
      </c>
    </row>
    <row r="408">
      <c r="A408" s="11" t="n">
        <v>45963</v>
      </c>
      <c r="B408" s="20" t="inlineStr">
        <is>
          <t>Delta Foods BV</t>
        </is>
      </c>
      <c r="C408" s="20" t="inlineStr">
        <is>
          <t>NL</t>
        </is>
      </c>
      <c r="D408" s="20" t="inlineStr">
        <is>
          <t>Non-Food</t>
        </is>
      </c>
      <c r="E408" s="12" t="n">
        <v>5760</v>
      </c>
      <c r="F408" s="12" t="n">
        <v>72000</v>
      </c>
      <c r="G408" s="12" t="n">
        <v>38.4</v>
      </c>
      <c r="H408" s="12" t="n">
        <v>24</v>
      </c>
    </row>
    <row r="409">
      <c r="A409" s="11" t="n">
        <v>45964</v>
      </c>
      <c r="B409" s="20" t="inlineStr">
        <is>
          <t>Austria Markt GmbH</t>
        </is>
      </c>
      <c r="C409" s="20" t="inlineStr">
        <is>
          <t>AT</t>
        </is>
      </c>
      <c r="D409" s="20" t="inlineStr">
        <is>
          <t>Getraenke</t>
        </is>
      </c>
      <c r="E409" s="12" t="n">
        <v>60288</v>
      </c>
      <c r="F409" s="12" t="n">
        <v>57273.6</v>
      </c>
      <c r="G409" s="12" t="n">
        <v>97.34</v>
      </c>
      <c r="H409" s="12" t="n">
        <v>62.8</v>
      </c>
    </row>
    <row r="410">
      <c r="A410" s="11" t="n">
        <v>45964</v>
      </c>
      <c r="B410" s="20" t="inlineStr">
        <is>
          <t>Tirol Handel AG</t>
        </is>
      </c>
      <c r="C410" s="20" t="inlineStr">
        <is>
          <t>AT</t>
        </is>
      </c>
      <c r="D410" s="20" t="inlineStr">
        <is>
          <t>Non-Food</t>
        </is>
      </c>
      <c r="E410" s="12" t="n">
        <v>4560</v>
      </c>
      <c r="F410" s="12" t="n">
        <v>57000</v>
      </c>
      <c r="G410" s="12" t="n">
        <v>30.4</v>
      </c>
      <c r="H410" s="12" t="n">
        <v>19</v>
      </c>
    </row>
    <row r="411">
      <c r="A411" s="11" t="n">
        <v>45964</v>
      </c>
      <c r="B411" s="20" t="inlineStr">
        <is>
          <t>Hessen Vertrieb GmbH</t>
        </is>
      </c>
      <c r="C411" s="20" t="inlineStr">
        <is>
          <t>DE-Mitte</t>
        </is>
      </c>
      <c r="D411" s="20" t="inlineStr">
        <is>
          <t>Getraenke</t>
        </is>
      </c>
      <c r="E411" s="12" t="n">
        <v>126240</v>
      </c>
      <c r="F411" s="12" t="n">
        <v>119928</v>
      </c>
      <c r="G411" s="12" t="n">
        <v>203.83</v>
      </c>
      <c r="H411" s="12" t="n">
        <v>131.5</v>
      </c>
    </row>
    <row r="412">
      <c r="A412" s="11" t="n">
        <v>45964</v>
      </c>
      <c r="B412" s="20" t="inlineStr">
        <is>
          <t>Donau Handel AG</t>
        </is>
      </c>
      <c r="C412" s="20" t="inlineStr">
        <is>
          <t>DE-Sued</t>
        </is>
      </c>
      <c r="D412" s="20" t="inlineStr">
        <is>
          <t>Kuehlware</t>
        </is>
      </c>
      <c r="E412" s="12" t="n">
        <v>38976</v>
      </c>
      <c r="F412" s="12" t="n">
        <v>132518.4</v>
      </c>
      <c r="G412" s="12" t="n">
        <v>105.56</v>
      </c>
      <c r="H412" s="12" t="n">
        <v>81.2</v>
      </c>
    </row>
    <row r="413">
      <c r="A413" s="11" t="n">
        <v>45965</v>
      </c>
      <c r="B413" s="20" t="inlineStr">
        <is>
          <t>Hessen Vertrieb GmbH</t>
        </is>
      </c>
      <c r="C413" s="20" t="inlineStr">
        <is>
          <t>DE-Mitte</t>
        </is>
      </c>
      <c r="D413" s="20" t="inlineStr">
        <is>
          <t>Aktionsware</t>
        </is>
      </c>
      <c r="E413" s="12" t="n">
        <v>15588</v>
      </c>
      <c r="F413" s="12" t="n">
        <v>96645.60000000001</v>
      </c>
      <c r="G413" s="12" t="n">
        <v>64.95</v>
      </c>
      <c r="H413" s="12" t="n">
        <v>43.3</v>
      </c>
    </row>
    <row r="414">
      <c r="A414" s="11" t="n">
        <v>45966</v>
      </c>
      <c r="B414" s="20" t="inlineStr">
        <is>
          <t>Elbe Handel GmbH</t>
        </is>
      </c>
      <c r="C414" s="20" t="inlineStr">
        <is>
          <t>DE-Nord</t>
        </is>
      </c>
      <c r="D414" s="20" t="inlineStr">
        <is>
          <t>Trockensortiment</t>
        </is>
      </c>
      <c r="E414" s="12" t="n">
        <v>121320</v>
      </c>
      <c r="F414" s="12" t="n">
        <v>224442</v>
      </c>
      <c r="G414" s="12" t="n">
        <v>244.32</v>
      </c>
      <c r="H414" s="12" t="n">
        <v>168.5</v>
      </c>
    </row>
    <row r="415">
      <c r="A415" s="11" t="n">
        <v>45967</v>
      </c>
      <c r="B415" s="20" t="inlineStr">
        <is>
          <t>Sachsen Handel GmbH</t>
        </is>
      </c>
      <c r="C415" s="20" t="inlineStr">
        <is>
          <t>DE-Ost</t>
        </is>
      </c>
      <c r="D415" s="20" t="inlineStr">
        <is>
          <t>Kuehlware</t>
        </is>
      </c>
      <c r="E415" s="12" t="n">
        <v>29760</v>
      </c>
      <c r="F415" s="12" t="n">
        <v>101184</v>
      </c>
      <c r="G415" s="12" t="n">
        <v>80.59999999999999</v>
      </c>
      <c r="H415" s="12" t="n">
        <v>62</v>
      </c>
    </row>
    <row r="416">
      <c r="A416" s="11" t="n">
        <v>45969</v>
      </c>
      <c r="B416" s="20" t="inlineStr">
        <is>
          <t>Nordmarkt AG</t>
        </is>
      </c>
      <c r="C416" s="20" t="inlineStr">
        <is>
          <t>DE-Nord</t>
        </is>
      </c>
      <c r="D416" s="20" t="inlineStr">
        <is>
          <t>Getraenke</t>
        </is>
      </c>
      <c r="E416" s="12" t="n">
        <v>170016</v>
      </c>
      <c r="F416" s="12" t="n">
        <v>161515.2</v>
      </c>
      <c r="G416" s="12" t="n">
        <v>274.5</v>
      </c>
      <c r="H416" s="12" t="n">
        <v>177.1</v>
      </c>
    </row>
    <row r="417">
      <c r="A417" s="11" t="n">
        <v>45969</v>
      </c>
      <c r="B417" s="20" t="inlineStr">
        <is>
          <t>Kuestenlager KG</t>
        </is>
      </c>
      <c r="C417" s="20" t="inlineStr">
        <is>
          <t>DE-Nord</t>
        </is>
      </c>
      <c r="D417" s="20" t="inlineStr">
        <is>
          <t>Kuehlware</t>
        </is>
      </c>
      <c r="E417" s="12" t="n">
        <v>50016</v>
      </c>
      <c r="F417" s="12" t="n">
        <v>170054.4</v>
      </c>
      <c r="G417" s="12" t="n">
        <v>135.46</v>
      </c>
      <c r="H417" s="12" t="n">
        <v>104.2</v>
      </c>
    </row>
    <row r="418">
      <c r="A418" s="11" t="n">
        <v>45969</v>
      </c>
      <c r="B418" s="20" t="inlineStr">
        <is>
          <t>Alpenmarkt GmbH</t>
        </is>
      </c>
      <c r="C418" s="20" t="inlineStr">
        <is>
          <t>DE-Sued</t>
        </is>
      </c>
      <c r="D418" s="20" t="inlineStr">
        <is>
          <t>Non-Food</t>
        </is>
      </c>
      <c r="E418" s="12" t="n">
        <v>11736</v>
      </c>
      <c r="F418" s="12" t="n">
        <v>146700</v>
      </c>
      <c r="G418" s="12" t="n">
        <v>78.23999999999999</v>
      </c>
      <c r="H418" s="12" t="n">
        <v>48.9</v>
      </c>
    </row>
    <row r="419">
      <c r="A419" s="11" t="n">
        <v>45969</v>
      </c>
      <c r="B419" s="20" t="inlineStr">
        <is>
          <t>Odra Handel Sp.</t>
        </is>
      </c>
      <c r="C419" s="20" t="inlineStr">
        <is>
          <t>PL</t>
        </is>
      </c>
      <c r="D419" s="20" t="inlineStr">
        <is>
          <t>Trockensortiment</t>
        </is>
      </c>
      <c r="E419" s="12" t="n">
        <v>28008</v>
      </c>
      <c r="F419" s="12" t="n">
        <v>51814.8</v>
      </c>
      <c r="G419" s="12" t="n">
        <v>56.4</v>
      </c>
      <c r="H419" s="12" t="n">
        <v>38.9</v>
      </c>
    </row>
    <row r="420">
      <c r="A420" s="11" t="n">
        <v>45971</v>
      </c>
      <c r="B420" s="20" t="inlineStr">
        <is>
          <t>Tirol Handel AG</t>
        </is>
      </c>
      <c r="C420" s="20" t="inlineStr">
        <is>
          <t>AT</t>
        </is>
      </c>
      <c r="D420" s="20" t="inlineStr">
        <is>
          <t>Trockensortiment</t>
        </is>
      </c>
      <c r="E420" s="12" t="n">
        <v>35928</v>
      </c>
      <c r="F420" s="12" t="n">
        <v>66466.8</v>
      </c>
      <c r="G420" s="12" t="n">
        <v>72.34999999999999</v>
      </c>
      <c r="H420" s="12" t="n">
        <v>49.9</v>
      </c>
    </row>
    <row r="421">
      <c r="A421" s="11" t="n">
        <v>45971</v>
      </c>
      <c r="B421" s="20" t="inlineStr">
        <is>
          <t>Kuestenlager KG</t>
        </is>
      </c>
      <c r="C421" s="20" t="inlineStr">
        <is>
          <t>DE-Nord</t>
        </is>
      </c>
      <c r="D421" s="20" t="inlineStr">
        <is>
          <t>Non-Food</t>
        </is>
      </c>
      <c r="E421" s="12" t="n">
        <v>11040</v>
      </c>
      <c r="F421" s="12" t="n">
        <v>138000</v>
      </c>
      <c r="G421" s="12" t="n">
        <v>73.59999999999999</v>
      </c>
      <c r="H421" s="12" t="n">
        <v>46</v>
      </c>
    </row>
    <row r="422">
      <c r="A422" s="11" t="n">
        <v>45971</v>
      </c>
      <c r="B422" s="20" t="inlineStr">
        <is>
          <t>Ruhr Frische GmbH</t>
        </is>
      </c>
      <c r="C422" s="20" t="inlineStr">
        <is>
          <t>DE-West</t>
        </is>
      </c>
      <c r="D422" s="20" t="inlineStr">
        <is>
          <t>Non-Food</t>
        </is>
      </c>
      <c r="E422" s="12" t="n">
        <v>16272</v>
      </c>
      <c r="F422" s="12" t="n">
        <v>203400</v>
      </c>
      <c r="G422" s="12" t="n">
        <v>108.48</v>
      </c>
      <c r="H422" s="12" t="n">
        <v>67.8</v>
      </c>
    </row>
    <row r="423">
      <c r="A423" s="11" t="n">
        <v>45971</v>
      </c>
      <c r="B423" s="20" t="inlineStr">
        <is>
          <t>Randstad Retail BV</t>
        </is>
      </c>
      <c r="C423" s="20" t="inlineStr">
        <is>
          <t>NL</t>
        </is>
      </c>
      <c r="D423" s="20" t="inlineStr">
        <is>
          <t>Getraenke</t>
        </is>
      </c>
      <c r="E423" s="12" t="n">
        <v>51072</v>
      </c>
      <c r="F423" s="12" t="n">
        <v>48518.4</v>
      </c>
      <c r="G423" s="12" t="n">
        <v>82.45999999999999</v>
      </c>
      <c r="H423" s="12" t="n">
        <v>53.2</v>
      </c>
    </row>
    <row r="424">
      <c r="A424" s="11" t="n">
        <v>45972</v>
      </c>
      <c r="B424" s="20" t="inlineStr">
        <is>
          <t>Tirol Handel AG</t>
        </is>
      </c>
      <c r="C424" s="20" t="inlineStr">
        <is>
          <t>AT</t>
        </is>
      </c>
      <c r="D424" s="20" t="inlineStr">
        <is>
          <t>Aktionsware</t>
        </is>
      </c>
      <c r="E424" s="12" t="n">
        <v>7308</v>
      </c>
      <c r="F424" s="12" t="n">
        <v>45309.6</v>
      </c>
      <c r="G424" s="12" t="n">
        <v>30.45</v>
      </c>
      <c r="H424" s="12" t="n">
        <v>20.3</v>
      </c>
    </row>
    <row r="425">
      <c r="A425" s="11" t="n">
        <v>45972</v>
      </c>
      <c r="B425" s="20" t="inlineStr">
        <is>
          <t>Rheinland Retail SE</t>
        </is>
      </c>
      <c r="C425" s="20" t="inlineStr">
        <is>
          <t>DE-West</t>
        </is>
      </c>
      <c r="D425" s="20" t="inlineStr">
        <is>
          <t>Kuehlware</t>
        </is>
      </c>
      <c r="E425" s="12" t="n">
        <v>56112</v>
      </c>
      <c r="F425" s="12" t="n">
        <v>190780.8</v>
      </c>
      <c r="G425" s="12" t="n">
        <v>151.97</v>
      </c>
      <c r="H425" s="12" t="n">
        <v>116.9</v>
      </c>
    </row>
    <row r="426">
      <c r="A426" s="11" t="n">
        <v>45975</v>
      </c>
      <c r="B426" s="20" t="inlineStr">
        <is>
          <t>Randstad Retail BV</t>
        </is>
      </c>
      <c r="C426" s="20" t="inlineStr">
        <is>
          <t>NL</t>
        </is>
      </c>
      <c r="D426" s="20" t="inlineStr">
        <is>
          <t>Aktionsware</t>
        </is>
      </c>
      <c r="E426" s="12" t="n">
        <v>8568</v>
      </c>
      <c r="F426" s="12" t="n">
        <v>53121.6</v>
      </c>
      <c r="G426" s="12" t="n">
        <v>35.7</v>
      </c>
      <c r="H426" s="12" t="n">
        <v>23.8</v>
      </c>
    </row>
    <row r="427">
      <c r="A427" s="11" t="n">
        <v>45977</v>
      </c>
      <c r="B427" s="20" t="inlineStr">
        <is>
          <t>Austria Markt GmbH</t>
        </is>
      </c>
      <c r="C427" s="20" t="inlineStr">
        <is>
          <t>AT</t>
        </is>
      </c>
      <c r="D427" s="20" t="inlineStr">
        <is>
          <t>Kuehlware</t>
        </is>
      </c>
      <c r="E427" s="12" t="n">
        <v>11136</v>
      </c>
      <c r="F427" s="12" t="n">
        <v>37862.4</v>
      </c>
      <c r="G427" s="12" t="n">
        <v>30.16</v>
      </c>
      <c r="H427" s="12" t="n">
        <v>23.2</v>
      </c>
    </row>
    <row r="428">
      <c r="A428" s="11" t="n">
        <v>45977</v>
      </c>
      <c r="B428" s="20" t="inlineStr">
        <is>
          <t>Spree Markt AG</t>
        </is>
      </c>
      <c r="C428" s="20" t="inlineStr">
        <is>
          <t>DE-Ost</t>
        </is>
      </c>
      <c r="D428" s="20" t="inlineStr">
        <is>
          <t>Non-Food</t>
        </is>
      </c>
      <c r="E428" s="12" t="n">
        <v>7392</v>
      </c>
      <c r="F428" s="12" t="n">
        <v>92400</v>
      </c>
      <c r="G428" s="12" t="n">
        <v>49.28</v>
      </c>
      <c r="H428" s="12" t="n">
        <v>30.8</v>
      </c>
    </row>
    <row r="429">
      <c r="A429" s="11" t="n">
        <v>45979</v>
      </c>
      <c r="B429" s="20" t="inlineStr">
        <is>
          <t>Wisla Retail Sp.</t>
        </is>
      </c>
      <c r="C429" s="20" t="inlineStr">
        <is>
          <t>PL</t>
        </is>
      </c>
      <c r="D429" s="20" t="inlineStr">
        <is>
          <t>Non-Food</t>
        </is>
      </c>
      <c r="E429" s="12" t="n">
        <v>10248</v>
      </c>
      <c r="F429" s="12" t="n">
        <v>128100</v>
      </c>
      <c r="G429" s="12" t="n">
        <v>68.31999999999999</v>
      </c>
      <c r="H429" s="12" t="n">
        <v>42.7</v>
      </c>
    </row>
    <row r="430">
      <c r="A430" s="11" t="n">
        <v>45980</v>
      </c>
      <c r="B430" s="20" t="inlineStr">
        <is>
          <t>Randstad Retail BV</t>
        </is>
      </c>
      <c r="C430" s="20" t="inlineStr">
        <is>
          <t>NL</t>
        </is>
      </c>
      <c r="D430" s="20" t="inlineStr">
        <is>
          <t>Kuehlware</t>
        </is>
      </c>
      <c r="E430" s="12" t="n">
        <v>23808</v>
      </c>
      <c r="F430" s="12" t="n">
        <v>80947.2</v>
      </c>
      <c r="G430" s="12" t="n">
        <v>64.48</v>
      </c>
      <c r="H430" s="12" t="n">
        <v>49.6</v>
      </c>
    </row>
    <row r="431">
      <c r="A431" s="11" t="n">
        <v>45980</v>
      </c>
      <c r="B431" s="20" t="inlineStr">
        <is>
          <t>Delta Foods BV</t>
        </is>
      </c>
      <c r="C431" s="20" t="inlineStr">
        <is>
          <t>NL</t>
        </is>
      </c>
      <c r="D431" s="20" t="inlineStr">
        <is>
          <t>Trockensortiment</t>
        </is>
      </c>
      <c r="E431" s="12" t="n">
        <v>50976</v>
      </c>
      <c r="F431" s="12" t="n">
        <v>94305.60000000001</v>
      </c>
      <c r="G431" s="12" t="n">
        <v>102.66</v>
      </c>
      <c r="H431" s="12" t="n">
        <v>70.8</v>
      </c>
    </row>
    <row r="432">
      <c r="A432" s="11" t="n">
        <v>45980</v>
      </c>
      <c r="B432" s="20" t="inlineStr">
        <is>
          <t>Wisla Retail Sp.</t>
        </is>
      </c>
      <c r="C432" s="20" t="inlineStr">
        <is>
          <t>PL</t>
        </is>
      </c>
      <c r="D432" s="20" t="inlineStr">
        <is>
          <t>Aktionsware</t>
        </is>
      </c>
      <c r="E432" s="12" t="n">
        <v>27036</v>
      </c>
      <c r="F432" s="12" t="n">
        <v>167623.2</v>
      </c>
      <c r="G432" s="12" t="n">
        <v>112.65</v>
      </c>
      <c r="H432" s="12" t="n">
        <v>75.09999999999999</v>
      </c>
    </row>
    <row r="433">
      <c r="A433" s="11" t="n">
        <v>45981</v>
      </c>
      <c r="B433" s="20" t="inlineStr">
        <is>
          <t>Hessen Vertrieb GmbH</t>
        </is>
      </c>
      <c r="C433" s="20" t="inlineStr">
        <is>
          <t>DE-Mitte</t>
        </is>
      </c>
      <c r="D433" s="20" t="inlineStr">
        <is>
          <t>Kuehlware</t>
        </is>
      </c>
      <c r="E433" s="12" t="n">
        <v>26880</v>
      </c>
      <c r="F433" s="12" t="n">
        <v>91392</v>
      </c>
      <c r="G433" s="12" t="n">
        <v>72.8</v>
      </c>
      <c r="H433" s="12" t="n">
        <v>56</v>
      </c>
    </row>
    <row r="434">
      <c r="A434" s="11" t="n">
        <v>45981</v>
      </c>
      <c r="B434" s="20" t="inlineStr">
        <is>
          <t>Sachsen Handel GmbH</t>
        </is>
      </c>
      <c r="C434" s="20" t="inlineStr">
        <is>
          <t>DE-Ost</t>
        </is>
      </c>
      <c r="D434" s="20" t="inlineStr">
        <is>
          <t>Trockensortiment</t>
        </is>
      </c>
      <c r="E434" s="12" t="n">
        <v>64296</v>
      </c>
      <c r="F434" s="12" t="n">
        <v>118947.6</v>
      </c>
      <c r="G434" s="12" t="n">
        <v>129.48</v>
      </c>
      <c r="H434" s="12" t="n">
        <v>89.3</v>
      </c>
    </row>
    <row r="435">
      <c r="A435" s="11" t="n">
        <v>45981</v>
      </c>
      <c r="B435" s="20" t="inlineStr">
        <is>
          <t>Donau Handel AG</t>
        </is>
      </c>
      <c r="C435" s="20" t="inlineStr">
        <is>
          <t>DE-Sued</t>
        </is>
      </c>
      <c r="D435" s="20" t="inlineStr">
        <is>
          <t>Aktionsware</t>
        </is>
      </c>
      <c r="E435" s="12" t="n">
        <v>19908</v>
      </c>
      <c r="F435" s="12" t="n">
        <v>123429.6</v>
      </c>
      <c r="G435" s="12" t="n">
        <v>82.95</v>
      </c>
      <c r="H435" s="12" t="n">
        <v>55.3</v>
      </c>
    </row>
    <row r="436">
      <c r="A436" s="11" t="n">
        <v>45982</v>
      </c>
      <c r="B436" s="20" t="inlineStr">
        <is>
          <t>Donau Handel AG</t>
        </is>
      </c>
      <c r="C436" s="20" t="inlineStr">
        <is>
          <t>DE-Sued</t>
        </is>
      </c>
      <c r="D436" s="20" t="inlineStr">
        <is>
          <t>Trockensortiment</t>
        </is>
      </c>
      <c r="E436" s="12" t="n">
        <v>120312</v>
      </c>
      <c r="F436" s="12" t="n">
        <v>222577.2</v>
      </c>
      <c r="G436" s="12" t="n">
        <v>242.29</v>
      </c>
      <c r="H436" s="12" t="n">
        <v>167.1</v>
      </c>
    </row>
    <row r="437">
      <c r="A437" s="11" t="n">
        <v>45982</v>
      </c>
      <c r="B437" s="20" t="inlineStr">
        <is>
          <t>Westfilial AG</t>
        </is>
      </c>
      <c r="C437" s="20" t="inlineStr">
        <is>
          <t>DE-West</t>
        </is>
      </c>
      <c r="D437" s="20" t="inlineStr">
        <is>
          <t>Aktionsware</t>
        </is>
      </c>
      <c r="E437" s="12" t="n">
        <v>24444</v>
      </c>
      <c r="F437" s="12" t="n">
        <v>151552.8</v>
      </c>
      <c r="G437" s="12" t="n">
        <v>101.85</v>
      </c>
      <c r="H437" s="12" t="n">
        <v>67.90000000000001</v>
      </c>
    </row>
    <row r="438">
      <c r="A438" s="11" t="n">
        <v>45982</v>
      </c>
      <c r="B438" s="20" t="inlineStr">
        <is>
          <t>Wisla Retail Sp.</t>
        </is>
      </c>
      <c r="C438" s="20" t="inlineStr">
        <is>
          <t>PL</t>
        </is>
      </c>
      <c r="D438" s="20" t="inlineStr">
        <is>
          <t>Kuehlware</t>
        </is>
      </c>
      <c r="E438" s="12" t="n">
        <v>7200</v>
      </c>
      <c r="F438" s="12" t="n">
        <v>24480</v>
      </c>
      <c r="G438" s="12" t="n">
        <v>19.5</v>
      </c>
      <c r="H438" s="12" t="n">
        <v>15</v>
      </c>
    </row>
    <row r="439">
      <c r="A439" s="11" t="n">
        <v>45983</v>
      </c>
      <c r="B439" s="20" t="inlineStr">
        <is>
          <t>Hessen Vertrieb GmbH</t>
        </is>
      </c>
      <c r="C439" s="20" t="inlineStr">
        <is>
          <t>DE-Mitte</t>
        </is>
      </c>
      <c r="D439" s="20" t="inlineStr">
        <is>
          <t>Trockensortiment</t>
        </is>
      </c>
      <c r="E439" s="12" t="n">
        <v>77112</v>
      </c>
      <c r="F439" s="12" t="n">
        <v>142657.2</v>
      </c>
      <c r="G439" s="12" t="n">
        <v>155.29</v>
      </c>
      <c r="H439" s="12" t="n">
        <v>107.1</v>
      </c>
    </row>
    <row r="440">
      <c r="A440" s="11" t="n">
        <v>45984</v>
      </c>
      <c r="B440" s="20" t="inlineStr">
        <is>
          <t>Sachsen Handel GmbH</t>
        </is>
      </c>
      <c r="C440" s="20" t="inlineStr">
        <is>
          <t>DE-Ost</t>
        </is>
      </c>
      <c r="D440" s="20" t="inlineStr">
        <is>
          <t>Getraenke</t>
        </is>
      </c>
      <c r="E440" s="12" t="n">
        <v>120672</v>
      </c>
      <c r="F440" s="12" t="n">
        <v>114638.4</v>
      </c>
      <c r="G440" s="12" t="n">
        <v>194.84</v>
      </c>
      <c r="H440" s="12" t="n">
        <v>125.7</v>
      </c>
    </row>
    <row r="441">
      <c r="A441" s="11" t="n">
        <v>45984</v>
      </c>
      <c r="B441" s="20" t="inlineStr">
        <is>
          <t>Alpenmarkt GmbH</t>
        </is>
      </c>
      <c r="C441" s="20" t="inlineStr">
        <is>
          <t>DE-Sued</t>
        </is>
      </c>
      <c r="D441" s="20" t="inlineStr">
        <is>
          <t>Getraenke</t>
        </is>
      </c>
      <c r="E441" s="12" t="n">
        <v>221376</v>
      </c>
      <c r="F441" s="12" t="n">
        <v>210307.2</v>
      </c>
      <c r="G441" s="12" t="n">
        <v>357.43</v>
      </c>
      <c r="H441" s="12" t="n">
        <v>230.6</v>
      </c>
    </row>
    <row r="442">
      <c r="A442" s="11" t="n">
        <v>45985</v>
      </c>
      <c r="B442" s="20" t="inlineStr">
        <is>
          <t>Hessen Vertrieb GmbH</t>
        </is>
      </c>
      <c r="C442" s="20" t="inlineStr">
        <is>
          <t>DE-Mitte</t>
        </is>
      </c>
      <c r="D442" s="20" t="inlineStr">
        <is>
          <t>Non-Food</t>
        </is>
      </c>
      <c r="E442" s="12" t="n">
        <v>9600</v>
      </c>
      <c r="F442" s="12" t="n">
        <v>120000</v>
      </c>
      <c r="G442" s="12" t="n">
        <v>64</v>
      </c>
      <c r="H442" s="12" t="n">
        <v>40</v>
      </c>
    </row>
    <row r="443">
      <c r="A443" s="11" t="n">
        <v>45985</v>
      </c>
      <c r="B443" s="20" t="inlineStr">
        <is>
          <t>Spree Markt AG</t>
        </is>
      </c>
      <c r="C443" s="20" t="inlineStr">
        <is>
          <t>DE-Ost</t>
        </is>
      </c>
      <c r="D443" s="20" t="inlineStr">
        <is>
          <t>Aktionsware</t>
        </is>
      </c>
      <c r="E443" s="12" t="n">
        <v>12420</v>
      </c>
      <c r="F443" s="12" t="n">
        <v>77004</v>
      </c>
      <c r="G443" s="12" t="n">
        <v>51.75</v>
      </c>
      <c r="H443" s="12" t="n">
        <v>34.5</v>
      </c>
    </row>
    <row r="444">
      <c r="A444" s="11" t="n">
        <v>45985</v>
      </c>
      <c r="B444" s="20" t="inlineStr">
        <is>
          <t>Ruhr Frische GmbH</t>
        </is>
      </c>
      <c r="C444" s="20" t="inlineStr">
        <is>
          <t>DE-West</t>
        </is>
      </c>
      <c r="D444" s="20" t="inlineStr">
        <is>
          <t>Trockensortiment</t>
        </is>
      </c>
      <c r="E444" s="12" t="n">
        <v>174024</v>
      </c>
      <c r="F444" s="12" t="n">
        <v>321944.4</v>
      </c>
      <c r="G444" s="12" t="n">
        <v>350.46</v>
      </c>
      <c r="H444" s="12" t="n">
        <v>241.7</v>
      </c>
    </row>
    <row r="445">
      <c r="A445" s="11" t="n">
        <v>45986</v>
      </c>
      <c r="B445" s="20" t="inlineStr">
        <is>
          <t>Wisla Retail Sp.</t>
        </is>
      </c>
      <c r="C445" s="20" t="inlineStr">
        <is>
          <t>PL</t>
        </is>
      </c>
      <c r="D445" s="20" t="inlineStr">
        <is>
          <t>Getraenke</t>
        </is>
      </c>
      <c r="E445" s="12" t="n">
        <v>37824</v>
      </c>
      <c r="F445" s="12" t="n">
        <v>35932.8</v>
      </c>
      <c r="G445" s="12" t="n">
        <v>61.07</v>
      </c>
      <c r="H445" s="12" t="n">
        <v>39.4</v>
      </c>
    </row>
    <row r="446">
      <c r="A446" s="11" t="n">
        <v>45992</v>
      </c>
      <c r="B446" s="20" t="inlineStr">
        <is>
          <t>Kuestenlager KG</t>
        </is>
      </c>
      <c r="C446" s="20" t="inlineStr">
        <is>
          <t>DE-Nord</t>
        </is>
      </c>
      <c r="D446" s="20" t="inlineStr">
        <is>
          <t>Trockensortiment</t>
        </is>
      </c>
      <c r="E446" s="12" t="n">
        <v>136512</v>
      </c>
      <c r="F446" s="12" t="n">
        <v>252547.2</v>
      </c>
      <c r="G446" s="12" t="n">
        <v>274.92</v>
      </c>
      <c r="H446" s="12" t="n">
        <v>189.6</v>
      </c>
    </row>
    <row r="447">
      <c r="A447" s="11" t="n">
        <v>45992</v>
      </c>
      <c r="B447" s="20" t="inlineStr">
        <is>
          <t>Ruhr Frische GmbH</t>
        </is>
      </c>
      <c r="C447" s="20" t="inlineStr">
        <is>
          <t>DE-West</t>
        </is>
      </c>
      <c r="D447" s="20" t="inlineStr">
        <is>
          <t>Non-Food</t>
        </is>
      </c>
      <c r="E447" s="12" t="n">
        <v>15072</v>
      </c>
      <c r="F447" s="12" t="n">
        <v>188400</v>
      </c>
      <c r="G447" s="12" t="n">
        <v>100.48</v>
      </c>
      <c r="H447" s="12" t="n">
        <v>62.8</v>
      </c>
    </row>
    <row r="448">
      <c r="A448" s="11" t="n">
        <v>45993</v>
      </c>
      <c r="B448" s="20" t="inlineStr">
        <is>
          <t>Austria Markt GmbH</t>
        </is>
      </c>
      <c r="C448" s="20" t="inlineStr">
        <is>
          <t>AT</t>
        </is>
      </c>
      <c r="D448" s="20" t="inlineStr">
        <is>
          <t>Non-Food</t>
        </is>
      </c>
      <c r="E448" s="12" t="n">
        <v>5088</v>
      </c>
      <c r="F448" s="12" t="n">
        <v>63600</v>
      </c>
      <c r="G448" s="12" t="n">
        <v>33.92</v>
      </c>
      <c r="H448" s="12" t="n">
        <v>21.2</v>
      </c>
    </row>
    <row r="449">
      <c r="A449" s="11" t="n">
        <v>45993</v>
      </c>
      <c r="B449" s="20" t="inlineStr">
        <is>
          <t>Spree Markt AG</t>
        </is>
      </c>
      <c r="C449" s="20" t="inlineStr">
        <is>
          <t>DE-Ost</t>
        </is>
      </c>
      <c r="D449" s="20" t="inlineStr">
        <is>
          <t>Aktionsware</t>
        </is>
      </c>
      <c r="E449" s="12" t="n">
        <v>12132</v>
      </c>
      <c r="F449" s="12" t="n">
        <v>75218.39999999999</v>
      </c>
      <c r="G449" s="12" t="n">
        <v>50.55</v>
      </c>
      <c r="H449" s="12" t="n">
        <v>33.7</v>
      </c>
    </row>
    <row r="450">
      <c r="A450" s="11" t="n">
        <v>45995</v>
      </c>
      <c r="B450" s="20" t="inlineStr">
        <is>
          <t>Spree Markt AG</t>
        </is>
      </c>
      <c r="C450" s="20" t="inlineStr">
        <is>
          <t>DE-Ost</t>
        </is>
      </c>
      <c r="D450" s="20" t="inlineStr">
        <is>
          <t>Kuehlware</t>
        </is>
      </c>
      <c r="E450" s="12" t="n">
        <v>31008</v>
      </c>
      <c r="F450" s="12" t="n">
        <v>105427.2</v>
      </c>
      <c r="G450" s="12" t="n">
        <v>83.98</v>
      </c>
      <c r="H450" s="12" t="n">
        <v>64.59999999999999</v>
      </c>
    </row>
    <row r="451">
      <c r="A451" s="11" t="n">
        <v>45995</v>
      </c>
      <c r="B451" s="20" t="inlineStr">
        <is>
          <t>Delta Foods BV</t>
        </is>
      </c>
      <c r="C451" s="20" t="inlineStr">
        <is>
          <t>NL</t>
        </is>
      </c>
      <c r="D451" s="20" t="inlineStr">
        <is>
          <t>Non-Food</t>
        </is>
      </c>
      <c r="E451" s="12" t="n">
        <v>5760</v>
      </c>
      <c r="F451" s="12" t="n">
        <v>72000</v>
      </c>
      <c r="G451" s="12" t="n">
        <v>38.4</v>
      </c>
      <c r="H451" s="12" t="n">
        <v>24</v>
      </c>
    </row>
    <row r="452">
      <c r="A452" s="11" t="n">
        <v>45996</v>
      </c>
      <c r="B452" s="20" t="inlineStr">
        <is>
          <t>Tirol Handel AG</t>
        </is>
      </c>
      <c r="C452" s="20" t="inlineStr">
        <is>
          <t>AT</t>
        </is>
      </c>
      <c r="D452" s="20" t="inlineStr">
        <is>
          <t>Aktionsware</t>
        </is>
      </c>
      <c r="E452" s="12" t="n">
        <v>5652</v>
      </c>
      <c r="F452" s="12" t="n">
        <v>35042.4</v>
      </c>
      <c r="G452" s="12" t="n">
        <v>23.55</v>
      </c>
      <c r="H452" s="12" t="n">
        <v>15.7</v>
      </c>
    </row>
    <row r="453">
      <c r="A453" s="11" t="n">
        <v>45996</v>
      </c>
      <c r="B453" s="20" t="inlineStr">
        <is>
          <t>Delta Foods BV</t>
        </is>
      </c>
      <c r="C453" s="20" t="inlineStr">
        <is>
          <t>NL</t>
        </is>
      </c>
      <c r="D453" s="20" t="inlineStr">
        <is>
          <t>Aktionsware</t>
        </is>
      </c>
      <c r="E453" s="12" t="n">
        <v>6516</v>
      </c>
      <c r="F453" s="12" t="n">
        <v>40399.2</v>
      </c>
      <c r="G453" s="12" t="n">
        <v>27.15</v>
      </c>
      <c r="H453" s="12" t="n">
        <v>18.1</v>
      </c>
    </row>
    <row r="454">
      <c r="A454" s="11" t="n">
        <v>45997</v>
      </c>
      <c r="B454" s="20" t="inlineStr">
        <is>
          <t>Ruhr Frische GmbH</t>
        </is>
      </c>
      <c r="C454" s="20" t="inlineStr">
        <is>
          <t>DE-West</t>
        </is>
      </c>
      <c r="D454" s="20" t="inlineStr">
        <is>
          <t>Aktionsware</t>
        </is>
      </c>
      <c r="E454" s="12" t="n">
        <v>19836</v>
      </c>
      <c r="F454" s="12" t="n">
        <v>122983.2</v>
      </c>
      <c r="G454" s="12" t="n">
        <v>82.65000000000001</v>
      </c>
      <c r="H454" s="12" t="n">
        <v>55.1</v>
      </c>
    </row>
    <row r="455">
      <c r="A455" s="11" t="n">
        <v>45999</v>
      </c>
      <c r="B455" s="20" t="inlineStr">
        <is>
          <t>Sachsen Handel GmbH</t>
        </is>
      </c>
      <c r="C455" s="20" t="inlineStr">
        <is>
          <t>DE-Ost</t>
        </is>
      </c>
      <c r="D455" s="20" t="inlineStr">
        <is>
          <t>Getraenke</t>
        </is>
      </c>
      <c r="E455" s="12" t="n">
        <v>117024</v>
      </c>
      <c r="F455" s="12" t="n">
        <v>111172.8</v>
      </c>
      <c r="G455" s="12" t="n">
        <v>188.95</v>
      </c>
      <c r="H455" s="12" t="n">
        <v>121.9</v>
      </c>
    </row>
    <row r="456">
      <c r="A456" s="11" t="n">
        <v>45999</v>
      </c>
      <c r="B456" s="20" t="inlineStr">
        <is>
          <t>Rheinland Retail SE</t>
        </is>
      </c>
      <c r="C456" s="20" t="inlineStr">
        <is>
          <t>DE-West</t>
        </is>
      </c>
      <c r="D456" s="20" t="inlineStr">
        <is>
          <t>Getraenke</t>
        </is>
      </c>
      <c r="E456" s="12" t="n">
        <v>204960</v>
      </c>
      <c r="F456" s="12" t="n">
        <v>194712</v>
      </c>
      <c r="G456" s="12" t="n">
        <v>330.93</v>
      </c>
      <c r="H456" s="12" t="n">
        <v>213.5</v>
      </c>
    </row>
    <row r="457">
      <c r="A457" s="11" t="n">
        <v>46000</v>
      </c>
      <c r="B457" s="20" t="inlineStr">
        <is>
          <t>Randstad Retail BV</t>
        </is>
      </c>
      <c r="C457" s="20" t="inlineStr">
        <is>
          <t>NL</t>
        </is>
      </c>
      <c r="D457" s="20" t="inlineStr">
        <is>
          <t>Getraenke</t>
        </is>
      </c>
      <c r="E457" s="12" t="n">
        <v>47424</v>
      </c>
      <c r="F457" s="12" t="n">
        <v>45052.8</v>
      </c>
      <c r="G457" s="12" t="n">
        <v>76.56999999999999</v>
      </c>
      <c r="H457" s="12" t="n">
        <v>49.4</v>
      </c>
    </row>
    <row r="458">
      <c r="A458" s="11" t="n">
        <v>46001</v>
      </c>
      <c r="B458" s="20" t="inlineStr">
        <is>
          <t>Austria Markt GmbH</t>
        </is>
      </c>
      <c r="C458" s="20" t="inlineStr">
        <is>
          <t>AT</t>
        </is>
      </c>
      <c r="D458" s="20" t="inlineStr">
        <is>
          <t>Kuehlware</t>
        </is>
      </c>
      <c r="E458" s="12" t="n">
        <v>13680</v>
      </c>
      <c r="F458" s="12" t="n">
        <v>46512</v>
      </c>
      <c r="G458" s="12" t="n">
        <v>37.05</v>
      </c>
      <c r="H458" s="12" t="n">
        <v>28.5</v>
      </c>
    </row>
    <row r="459">
      <c r="A459" s="11" t="n">
        <v>46001</v>
      </c>
      <c r="B459" s="20" t="inlineStr">
        <is>
          <t>Hessen Vertrieb GmbH</t>
        </is>
      </c>
      <c r="C459" s="20" t="inlineStr">
        <is>
          <t>DE-Mitte</t>
        </is>
      </c>
      <c r="D459" s="20" t="inlineStr">
        <is>
          <t>Kuehlware</t>
        </is>
      </c>
      <c r="E459" s="12" t="n">
        <v>35232</v>
      </c>
      <c r="F459" s="12" t="n">
        <v>119788.8</v>
      </c>
      <c r="G459" s="12" t="n">
        <v>95.42</v>
      </c>
      <c r="H459" s="12" t="n">
        <v>73.40000000000001</v>
      </c>
    </row>
    <row r="460">
      <c r="A460" s="11" t="n">
        <v>46002</v>
      </c>
      <c r="B460" s="20" t="inlineStr">
        <is>
          <t>Hessen Vertrieb GmbH</t>
        </is>
      </c>
      <c r="C460" s="20" t="inlineStr">
        <is>
          <t>DE-Mitte</t>
        </is>
      </c>
      <c r="D460" s="20" t="inlineStr">
        <is>
          <t>Aktionsware</t>
        </is>
      </c>
      <c r="E460" s="12" t="n">
        <v>14364</v>
      </c>
      <c r="F460" s="12" t="n">
        <v>89056.8</v>
      </c>
      <c r="G460" s="12" t="n">
        <v>59.85</v>
      </c>
      <c r="H460" s="12" t="n">
        <v>39.9</v>
      </c>
    </row>
    <row r="461">
      <c r="A461" s="11" t="n">
        <v>46002</v>
      </c>
      <c r="B461" s="20" t="inlineStr">
        <is>
          <t>Mainpunkt Handel</t>
        </is>
      </c>
      <c r="C461" s="20" t="inlineStr">
        <is>
          <t>DE-Mitte</t>
        </is>
      </c>
      <c r="D461" s="20" t="inlineStr">
        <is>
          <t>Getraenke</t>
        </is>
      </c>
      <c r="E461" s="12" t="n">
        <v>115008</v>
      </c>
      <c r="F461" s="12" t="n">
        <v>109257.6</v>
      </c>
      <c r="G461" s="12" t="n">
        <v>185.69</v>
      </c>
      <c r="H461" s="12" t="n">
        <v>119.8</v>
      </c>
    </row>
    <row r="462">
      <c r="A462" s="11" t="n">
        <v>46003</v>
      </c>
      <c r="B462" s="20" t="inlineStr">
        <is>
          <t>Mainpunkt Handel</t>
        </is>
      </c>
      <c r="C462" s="20" t="inlineStr">
        <is>
          <t>DE-Mitte</t>
        </is>
      </c>
      <c r="D462" s="20" t="inlineStr">
        <is>
          <t>Non-Food</t>
        </is>
      </c>
      <c r="E462" s="12" t="n">
        <v>9120</v>
      </c>
      <c r="F462" s="12" t="n">
        <v>114000</v>
      </c>
      <c r="G462" s="12" t="n">
        <v>60.8</v>
      </c>
      <c r="H462" s="12" t="n">
        <v>38</v>
      </c>
    </row>
    <row r="463">
      <c r="A463" s="11" t="n">
        <v>46003</v>
      </c>
      <c r="B463" s="20" t="inlineStr">
        <is>
          <t>Odra Handel Sp.</t>
        </is>
      </c>
      <c r="C463" s="20" t="inlineStr">
        <is>
          <t>PL</t>
        </is>
      </c>
      <c r="D463" s="20" t="inlineStr">
        <is>
          <t>Non-Food</t>
        </is>
      </c>
      <c r="E463" s="12" t="n">
        <v>12936</v>
      </c>
      <c r="F463" s="12" t="n">
        <v>161700</v>
      </c>
      <c r="G463" s="12" t="n">
        <v>86.23999999999999</v>
      </c>
      <c r="H463" s="12" t="n">
        <v>53.9</v>
      </c>
    </row>
    <row r="464">
      <c r="A464" s="11" t="n">
        <v>46004</v>
      </c>
      <c r="B464" s="20" t="inlineStr">
        <is>
          <t>Austria Markt GmbH</t>
        </is>
      </c>
      <c r="C464" s="20" t="inlineStr">
        <is>
          <t>AT</t>
        </is>
      </c>
      <c r="D464" s="20" t="inlineStr">
        <is>
          <t>Trockensortiment</t>
        </is>
      </c>
      <c r="E464" s="12" t="n">
        <v>37728</v>
      </c>
      <c r="F464" s="12" t="n">
        <v>69796.8</v>
      </c>
      <c r="G464" s="12" t="n">
        <v>75.98</v>
      </c>
      <c r="H464" s="12" t="n">
        <v>52.4</v>
      </c>
    </row>
    <row r="465">
      <c r="A465" s="11" t="n">
        <v>46004</v>
      </c>
      <c r="B465" s="20" t="inlineStr">
        <is>
          <t>Donau Handel AG</t>
        </is>
      </c>
      <c r="C465" s="20" t="inlineStr">
        <is>
          <t>DE-Sued</t>
        </is>
      </c>
      <c r="D465" s="20" t="inlineStr">
        <is>
          <t>Trockensortiment</t>
        </is>
      </c>
      <c r="E465" s="12" t="n">
        <v>135864</v>
      </c>
      <c r="F465" s="12" t="n">
        <v>251348.4</v>
      </c>
      <c r="G465" s="12" t="n">
        <v>273.61</v>
      </c>
      <c r="H465" s="12" t="n">
        <v>188.7</v>
      </c>
    </row>
    <row r="466">
      <c r="A466" s="11" t="n">
        <v>46006</v>
      </c>
      <c r="B466" s="20" t="inlineStr">
        <is>
          <t>Sued Filialen KG</t>
        </is>
      </c>
      <c r="C466" s="20" t="inlineStr">
        <is>
          <t>DE-Sued</t>
        </is>
      </c>
      <c r="D466" s="20" t="inlineStr">
        <is>
          <t>Getraenke</t>
        </is>
      </c>
      <c r="E466" s="12" t="n">
        <v>192192</v>
      </c>
      <c r="F466" s="12" t="n">
        <v>182582.4</v>
      </c>
      <c r="G466" s="12" t="n">
        <v>310.31</v>
      </c>
      <c r="H466" s="12" t="n">
        <v>200.2</v>
      </c>
    </row>
    <row r="467">
      <c r="A467" s="11" t="n">
        <v>46006</v>
      </c>
      <c r="B467" s="20" t="inlineStr">
        <is>
          <t>Donau Handel AG</t>
        </is>
      </c>
      <c r="C467" s="20" t="inlineStr">
        <is>
          <t>DE-Sued</t>
        </is>
      </c>
      <c r="D467" s="20" t="inlineStr">
        <is>
          <t>Kuehlware</t>
        </is>
      </c>
      <c r="E467" s="12" t="n">
        <v>42336</v>
      </c>
      <c r="F467" s="12" t="n">
        <v>143942.4</v>
      </c>
      <c r="G467" s="12" t="n">
        <v>114.66</v>
      </c>
      <c r="H467" s="12" t="n">
        <v>88.2</v>
      </c>
    </row>
    <row r="468">
      <c r="A468" s="11" t="n">
        <v>46007</v>
      </c>
      <c r="B468" s="20" t="inlineStr">
        <is>
          <t>Donau Handel AG</t>
        </is>
      </c>
      <c r="C468" s="20" t="inlineStr">
        <is>
          <t>DE-Sued</t>
        </is>
      </c>
      <c r="D468" s="20" t="inlineStr">
        <is>
          <t>Non-Food</t>
        </is>
      </c>
      <c r="E468" s="12" t="n">
        <v>11904</v>
      </c>
      <c r="F468" s="12" t="n">
        <v>148800</v>
      </c>
      <c r="G468" s="12" t="n">
        <v>79.36</v>
      </c>
      <c r="H468" s="12" t="n">
        <v>49.6</v>
      </c>
    </row>
    <row r="469">
      <c r="A469" s="11" t="n">
        <v>46007</v>
      </c>
      <c r="B469" s="20" t="inlineStr">
        <is>
          <t>Rheinland Retail SE</t>
        </is>
      </c>
      <c r="C469" s="20" t="inlineStr">
        <is>
          <t>DE-West</t>
        </is>
      </c>
      <c r="D469" s="20" t="inlineStr">
        <is>
          <t>Trockensortiment</t>
        </is>
      </c>
      <c r="E469" s="12" t="n">
        <v>179136</v>
      </c>
      <c r="F469" s="12" t="n">
        <v>331401.6</v>
      </c>
      <c r="G469" s="12" t="n">
        <v>360.76</v>
      </c>
      <c r="H469" s="12" t="n">
        <v>248.8</v>
      </c>
    </row>
    <row r="470">
      <c r="A470" s="11" t="n">
        <v>46007</v>
      </c>
      <c r="B470" s="20" t="inlineStr">
        <is>
          <t>Randstad Retail BV</t>
        </is>
      </c>
      <c r="C470" s="20" t="inlineStr">
        <is>
          <t>NL</t>
        </is>
      </c>
      <c r="D470" s="20" t="inlineStr">
        <is>
          <t>Trockensortiment</t>
        </is>
      </c>
      <c r="E470" s="12" t="n">
        <v>48960</v>
      </c>
      <c r="F470" s="12" t="n">
        <v>90576</v>
      </c>
      <c r="G470" s="12" t="n">
        <v>98.59999999999999</v>
      </c>
      <c r="H470" s="12" t="n">
        <v>68</v>
      </c>
    </row>
    <row r="471">
      <c r="A471" s="11" t="n">
        <v>46008</v>
      </c>
      <c r="B471" s="20" t="inlineStr">
        <is>
          <t>Nordmarkt AG</t>
        </is>
      </c>
      <c r="C471" s="20" t="inlineStr">
        <is>
          <t>DE-Nord</t>
        </is>
      </c>
      <c r="D471" s="20" t="inlineStr">
        <is>
          <t>Non-Food</t>
        </is>
      </c>
      <c r="E471" s="12" t="n">
        <v>11928</v>
      </c>
      <c r="F471" s="12" t="n">
        <v>149100</v>
      </c>
      <c r="G471" s="12" t="n">
        <v>79.52</v>
      </c>
      <c r="H471" s="12" t="n">
        <v>49.7</v>
      </c>
    </row>
    <row r="472">
      <c r="A472" s="11" t="n">
        <v>46008</v>
      </c>
      <c r="B472" s="20" t="inlineStr">
        <is>
          <t>Donau Handel AG</t>
        </is>
      </c>
      <c r="C472" s="20" t="inlineStr">
        <is>
          <t>DE-Sued</t>
        </is>
      </c>
      <c r="D472" s="20" t="inlineStr">
        <is>
          <t>Aktionsware</t>
        </is>
      </c>
      <c r="E472" s="12" t="n">
        <v>17208</v>
      </c>
      <c r="F472" s="12" t="n">
        <v>106689.6</v>
      </c>
      <c r="G472" s="12" t="n">
        <v>71.7</v>
      </c>
      <c r="H472" s="12" t="n">
        <v>47.8</v>
      </c>
    </row>
    <row r="473">
      <c r="A473" s="11" t="n">
        <v>46008</v>
      </c>
      <c r="B473" s="20" t="inlineStr">
        <is>
          <t>Odra Handel Sp.</t>
        </is>
      </c>
      <c r="C473" s="20" t="inlineStr">
        <is>
          <t>PL</t>
        </is>
      </c>
      <c r="D473" s="20" t="inlineStr">
        <is>
          <t>Aktionsware</t>
        </is>
      </c>
      <c r="E473" s="12" t="n">
        <v>26064</v>
      </c>
      <c r="F473" s="12" t="n">
        <v>161596.8</v>
      </c>
      <c r="G473" s="12" t="n">
        <v>108.6</v>
      </c>
      <c r="H473" s="12" t="n">
        <v>72.40000000000001</v>
      </c>
    </row>
    <row r="474">
      <c r="A474" s="11" t="n">
        <v>46009</v>
      </c>
      <c r="B474" s="20" t="inlineStr">
        <is>
          <t>Odra Handel Sp.</t>
        </is>
      </c>
      <c r="C474" s="20" t="inlineStr">
        <is>
          <t>PL</t>
        </is>
      </c>
      <c r="D474" s="20" t="inlineStr">
        <is>
          <t>Kuehlware</t>
        </is>
      </c>
      <c r="E474" s="12" t="n">
        <v>7728</v>
      </c>
      <c r="F474" s="12" t="n">
        <v>26275.2</v>
      </c>
      <c r="G474" s="12" t="n">
        <v>20.93</v>
      </c>
      <c r="H474" s="12" t="n">
        <v>16.1</v>
      </c>
    </row>
    <row r="475">
      <c r="A475" s="11" t="n">
        <v>46009</v>
      </c>
      <c r="B475" s="20" t="inlineStr">
        <is>
          <t>Odra Handel Sp.</t>
        </is>
      </c>
      <c r="C475" s="20" t="inlineStr">
        <is>
          <t>PL</t>
        </is>
      </c>
      <c r="D475" s="20" t="inlineStr">
        <is>
          <t>Trockensortiment</t>
        </is>
      </c>
      <c r="E475" s="12" t="n">
        <v>26712</v>
      </c>
      <c r="F475" s="12" t="n">
        <v>49417.2</v>
      </c>
      <c r="G475" s="12" t="n">
        <v>53.8</v>
      </c>
      <c r="H475" s="12" t="n">
        <v>37.1</v>
      </c>
    </row>
    <row r="476">
      <c r="A476" s="11" t="n">
        <v>46010</v>
      </c>
      <c r="B476" s="20" t="inlineStr">
        <is>
          <t>Kuestenlager KG</t>
        </is>
      </c>
      <c r="C476" s="20" t="inlineStr">
        <is>
          <t>DE-Nord</t>
        </is>
      </c>
      <c r="D476" s="20" t="inlineStr">
        <is>
          <t>Aktionsware</t>
        </is>
      </c>
      <c r="E476" s="12" t="n">
        <v>14616</v>
      </c>
      <c r="F476" s="12" t="n">
        <v>90619.2</v>
      </c>
      <c r="G476" s="12" t="n">
        <v>60.9</v>
      </c>
      <c r="H476" s="12" t="n">
        <v>40.6</v>
      </c>
    </row>
    <row r="477">
      <c r="A477" s="11" t="n">
        <v>46011</v>
      </c>
      <c r="B477" s="20" t="inlineStr">
        <is>
          <t>Mainpunkt Handel</t>
        </is>
      </c>
      <c r="C477" s="20" t="inlineStr">
        <is>
          <t>DE-Mitte</t>
        </is>
      </c>
      <c r="D477" s="20" t="inlineStr">
        <is>
          <t>Trockensortiment</t>
        </is>
      </c>
      <c r="E477" s="12" t="n">
        <v>81432</v>
      </c>
      <c r="F477" s="12" t="n">
        <v>150649.2</v>
      </c>
      <c r="G477" s="12" t="n">
        <v>163.99</v>
      </c>
      <c r="H477" s="12" t="n">
        <v>113.1</v>
      </c>
    </row>
    <row r="478">
      <c r="A478" s="11" t="n">
        <v>46011</v>
      </c>
      <c r="B478" s="20" t="inlineStr">
        <is>
          <t>Elbe Handel GmbH</t>
        </is>
      </c>
      <c r="C478" s="20" t="inlineStr">
        <is>
          <t>DE-Nord</t>
        </is>
      </c>
      <c r="D478" s="20" t="inlineStr">
        <is>
          <t>Getraenke</t>
        </is>
      </c>
      <c r="E478" s="12" t="n">
        <v>133152</v>
      </c>
      <c r="F478" s="12" t="n">
        <v>126494.4</v>
      </c>
      <c r="G478" s="12" t="n">
        <v>214.98</v>
      </c>
      <c r="H478" s="12" t="n">
        <v>138.7</v>
      </c>
    </row>
    <row r="479">
      <c r="A479" s="11" t="n">
        <v>46013</v>
      </c>
      <c r="B479" s="20" t="inlineStr">
        <is>
          <t>Spree Markt AG</t>
        </is>
      </c>
      <c r="C479" s="20" t="inlineStr">
        <is>
          <t>DE-Ost</t>
        </is>
      </c>
      <c r="D479" s="20" t="inlineStr">
        <is>
          <t>Trockensortiment</t>
        </is>
      </c>
      <c r="E479" s="12" t="n">
        <v>67392</v>
      </c>
      <c r="F479" s="12" t="n">
        <v>124675.2</v>
      </c>
      <c r="G479" s="12" t="n">
        <v>135.72</v>
      </c>
      <c r="H479" s="12" t="n">
        <v>93.59999999999999</v>
      </c>
    </row>
    <row r="480">
      <c r="A480" s="11" t="n">
        <v>46014</v>
      </c>
      <c r="B480" s="20" t="inlineStr">
        <is>
          <t>Nordmarkt AG</t>
        </is>
      </c>
      <c r="C480" s="20" t="inlineStr">
        <is>
          <t>DE-Nord</t>
        </is>
      </c>
      <c r="D480" s="20" t="inlineStr">
        <is>
          <t>Kuehlware</t>
        </is>
      </c>
      <c r="E480" s="12" t="n">
        <v>56976</v>
      </c>
      <c r="F480" s="12" t="n">
        <v>193718.4</v>
      </c>
      <c r="G480" s="12" t="n">
        <v>154.31</v>
      </c>
      <c r="H480" s="12" t="n">
        <v>118.7</v>
      </c>
    </row>
    <row r="481">
      <c r="A481" s="11" t="n">
        <v>46015</v>
      </c>
      <c r="B481" s="20" t="inlineStr">
        <is>
          <t>Austria Markt GmbH</t>
        </is>
      </c>
      <c r="C481" s="20" t="inlineStr">
        <is>
          <t>AT</t>
        </is>
      </c>
      <c r="D481" s="20" t="inlineStr">
        <is>
          <t>Getraenke</t>
        </is>
      </c>
      <c r="E481" s="12" t="n">
        <v>57120</v>
      </c>
      <c r="F481" s="12" t="n">
        <v>54264</v>
      </c>
      <c r="G481" s="12" t="n">
        <v>92.23</v>
      </c>
      <c r="H481" s="12" t="n">
        <v>59.5</v>
      </c>
    </row>
    <row r="482">
      <c r="A482" s="11" t="n">
        <v>46015</v>
      </c>
      <c r="B482" s="20" t="inlineStr">
        <is>
          <t>Wisla Retail Sp.</t>
        </is>
      </c>
      <c r="C482" s="20" t="inlineStr">
        <is>
          <t>PL</t>
        </is>
      </c>
      <c r="D482" s="20" t="inlineStr">
        <is>
          <t>Getraenke</t>
        </is>
      </c>
      <c r="E482" s="12" t="n">
        <v>34176</v>
      </c>
      <c r="F482" s="12" t="n">
        <v>32467.2</v>
      </c>
      <c r="G482" s="12" t="n">
        <v>55.18</v>
      </c>
      <c r="H482" s="12" t="n">
        <v>35.6</v>
      </c>
    </row>
    <row r="483">
      <c r="A483" s="11" t="n">
        <v>46016</v>
      </c>
      <c r="B483" s="20" t="inlineStr">
        <is>
          <t>Spree Markt AG</t>
        </is>
      </c>
      <c r="C483" s="20" t="inlineStr">
        <is>
          <t>DE-Ost</t>
        </is>
      </c>
      <c r="D483" s="20" t="inlineStr">
        <is>
          <t>Non-Food</t>
        </is>
      </c>
      <c r="E483" s="12" t="n">
        <v>7128</v>
      </c>
      <c r="F483" s="12" t="n">
        <v>89100</v>
      </c>
      <c r="G483" s="12" t="n">
        <v>47.52</v>
      </c>
      <c r="H483" s="12" t="n">
        <v>29.7</v>
      </c>
    </row>
    <row r="484">
      <c r="A484" s="11" t="n">
        <v>46016</v>
      </c>
      <c r="B484" s="20" t="inlineStr">
        <is>
          <t>Rheinland Retail SE</t>
        </is>
      </c>
      <c r="C484" s="20" t="inlineStr">
        <is>
          <t>DE-West</t>
        </is>
      </c>
      <c r="D484" s="20" t="inlineStr">
        <is>
          <t>Kuehlware</t>
        </is>
      </c>
      <c r="E484" s="12" t="n">
        <v>60192</v>
      </c>
      <c r="F484" s="12" t="n">
        <v>204652.8</v>
      </c>
      <c r="G484" s="12" t="n">
        <v>163.02</v>
      </c>
      <c r="H484" s="12" t="n">
        <v>125.4</v>
      </c>
    </row>
    <row r="485">
      <c r="A485" s="11" t="n">
        <v>46016</v>
      </c>
      <c r="B485" s="20" t="inlineStr">
        <is>
          <t>Delta Foods BV</t>
        </is>
      </c>
      <c r="C485" s="20" t="inlineStr">
        <is>
          <t>NL</t>
        </is>
      </c>
      <c r="D485" s="20" t="inlineStr">
        <is>
          <t>Kuehlware</t>
        </is>
      </c>
      <c r="E485" s="12" t="n">
        <v>25152</v>
      </c>
      <c r="F485" s="12" t="n">
        <v>85516.8</v>
      </c>
      <c r="G485" s="12" t="n">
        <v>68.12</v>
      </c>
      <c r="H485" s="12" t="n">
        <v>52.4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Logistik-Netzwerkplanung (Build-Skript)</dc:creator>
  <dc:title>Logistik-Netzwerkplanung</dc:title>
  <dcterms:created xsi:type="dcterms:W3CDTF">2026-08-10T06:51:32Z</dcterms:created>
  <dcterms:modified xsi:type="dcterms:W3CDTF">2026-08-10T06:51:33Z</dcterms:modified>
</cp:coreProperties>
</file>