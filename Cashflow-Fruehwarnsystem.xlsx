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chnungen | Invoices" sheetId="2" state="visible" r:id="rId2"/>
    <sheet name="Kosten | Costs" sheetId="3" state="visible" r:id="rId3"/>
    <sheet name="Szenario | Scenario" sheetId="4" state="visible" r:id="rId4"/>
    <sheet name="Config" sheetId="5" state="hidden" r:id="rId5"/>
  </sheets>
  <definedNames>
    <definedName name="LANG">Config!$E$2</definedName>
    <definedName name="VATON">Config!$E$3</definedName>
    <definedName name="OPENBAL">Dashboard!$N$33</definedName>
    <definedName name="MINCASH">Dashboard!$N$34</definedName>
    <definedName name="YELLOWF">Dashboard!$N$35</definedName>
    <definedName name="START">Dashboard!$N$36</definedName>
    <definedName name="VATDAY">Dashboard!$N$38</definedName>
    <definedName name="DELAY_ALL">'Szenario | Scenario'!$J$10</definedName>
    <definedName name="SCN_CUSTOMER">'Szenario | Scenario'!$J$13</definedName>
    <definedName name="DELAY_CUSTOMER">'Szenario | Scenario'!$J$16</definedName>
    <definedName name="LOSS_RATE">'Szenario | Scenario'!$J$19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DD.MM.YYYY"/>
    <numFmt numFmtId="166" formatCode="#,##0\ &quot;€&quot;"/>
    <numFmt numFmtId="167" formatCode="#,##0\ &quot;€&quot;;-#,##0\ &quot;€&quot;;&quot;–&quot;"/>
    <numFmt numFmtId="168" formatCode="0.0"/>
  </numFmts>
  <fonts count="33">
    <font>
      <name val="Calibri"/>
      <family val="2"/>
      <color theme="1"/>
      <sz val="11"/>
      <scheme val="minor"/>
    </font>
    <font>
      <name val="Segoe UI"/>
      <b val="1"/>
      <color rgb="00B8402F"/>
      <sz val="11"/>
    </font>
    <font>
      <name val="Segoe UI"/>
      <color rgb="006B7C8A"/>
      <sz val="9"/>
    </font>
    <font>
      <name val="Segoe UI"/>
      <b val="1"/>
      <sz val="9"/>
    </font>
    <font>
      <name val="Segoe UI"/>
      <b val="1"/>
      <color rgb="00FFFFFF"/>
      <sz val="9"/>
    </font>
    <font>
      <name val="Segoe UI"/>
      <sz val="9"/>
    </font>
    <font>
      <name val="Segoe UI"/>
      <b val="1"/>
      <color rgb="006B7C8A"/>
      <sz val="9"/>
    </font>
    <font>
      <name val="Segoe UI"/>
      <b val="1"/>
      <color rgb="00FFFFFF"/>
      <sz val="18"/>
    </font>
    <font>
      <name val="Segoe UI"/>
      <color rgb="00A9C4D0"/>
      <sz val="9.5"/>
    </font>
    <font>
      <name val="Segoe UI"/>
      <b val="1"/>
      <color rgb="00103C4B"/>
      <sz val="11"/>
    </font>
    <font>
      <name val="Segoe UI"/>
      <b val="1"/>
      <color rgb="00FFFFFF"/>
      <sz val="9.5"/>
    </font>
    <font>
      <name val="Segoe UI"/>
      <color rgb="001E2A32"/>
      <sz val="10"/>
    </font>
    <font>
      <name val="Segoe UI"/>
      <i val="1"/>
      <color rgb="006B7C8A"/>
      <sz val="10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i val="1"/>
      <color rgb="006B7C8A"/>
      <sz val="9"/>
    </font>
    <font>
      <name val="Segoe UI"/>
      <b val="1"/>
      <color rgb="001E2A32"/>
      <sz val="11"/>
    </font>
    <font>
      <name val="Segoe UI"/>
      <color rgb="006B7C8A"/>
      <sz val="8.5"/>
    </font>
    <font>
      <name val="Segoe UI"/>
      <b val="1"/>
      <color rgb="00103C4B"/>
      <sz val="13"/>
    </font>
    <font>
      <name val="Segoe UI"/>
      <i val="1"/>
      <color rgb="006B7C8A"/>
      <sz val="8.5"/>
    </font>
    <font>
      <name val="Segoe UI"/>
      <b val="1"/>
      <color rgb="006B7C8A"/>
      <sz val="8.5"/>
    </font>
    <font>
      <name val="Segoe UI"/>
      <b val="1"/>
      <color rgb="00103C4B"/>
      <sz val="17"/>
    </font>
    <font>
      <name val="Segoe UI"/>
      <b val="1"/>
      <color rgb="00B8402F"/>
      <sz val="17"/>
    </font>
    <font>
      <name val="Segoe UI"/>
      <b val="1"/>
      <color rgb="00103C4B"/>
      <sz val="9.5"/>
    </font>
    <font>
      <name val="Segoe UI"/>
      <b val="1"/>
      <color rgb="001E2A32"/>
      <sz val="10"/>
    </font>
    <font>
      <name val="Segoe UI"/>
      <color rgb="006B7C8A"/>
      <sz val="10"/>
    </font>
    <font>
      <name val="Segoe UI"/>
      <color rgb="00A9C4D0"/>
      <sz val="8"/>
    </font>
    <font>
      <name val="Segoe UI"/>
      <b val="1"/>
      <color rgb="001B7F8C"/>
      <sz val="17"/>
    </font>
    <font>
      <name val="Segoe UI"/>
      <b val="1"/>
      <color rgb="001E8A5F"/>
      <sz val="17"/>
    </font>
    <font>
      <name val="Segoe UI"/>
      <b val="1"/>
      <color rgb="001E8A5F"/>
      <sz val="10.5"/>
    </font>
    <font>
      <name val="Segoe UI"/>
      <color rgb="002FA88F"/>
      <sz val="10"/>
    </font>
    <font>
      <name val="Segoe UI"/>
      <b val="1"/>
      <color rgb="001E2A32"/>
      <sz val="10.5"/>
    </font>
    <font>
      <name val="Segoe UI"/>
      <color rgb="001E2A32"/>
      <sz val="9.5"/>
    </font>
  </fonts>
  <fills count="14">
    <fill>
      <patternFill/>
    </fill>
    <fill>
      <patternFill patternType="gray125"/>
    </fill>
    <fill>
      <patternFill patternType="solid">
        <fgColor rgb="00103C4B"/>
      </patternFill>
    </fill>
    <fill>
      <patternFill patternType="solid">
        <fgColor rgb="00F4F7F9"/>
      </patternFill>
    </fill>
    <fill>
      <patternFill patternType="solid">
        <fgColor rgb="00FFFFFF"/>
      </patternFill>
    </fill>
    <fill>
      <patternFill patternType="solid">
        <fgColor rgb="00F2F6F8"/>
      </patternFill>
    </fill>
    <fill>
      <patternFill patternType="solid">
        <fgColor rgb="00FAFCFD"/>
      </patternFill>
    </fill>
    <fill>
      <patternFill patternType="solid">
        <fgColor rgb="00FFFDF5"/>
      </patternFill>
    </fill>
    <fill>
      <patternFill patternType="solid">
        <fgColor rgb="001B7F8C"/>
      </patternFill>
    </fill>
    <fill>
      <patternFill patternType="solid">
        <fgColor rgb="002FA88F"/>
      </patternFill>
    </fill>
    <fill>
      <patternFill patternType="solid">
        <fgColor rgb="00B8402F"/>
      </patternFill>
    </fill>
    <fill>
      <patternFill patternType="solid">
        <fgColor rgb="001E8A5F"/>
      </patternFill>
    </fill>
    <fill>
      <patternFill patternType="solid">
        <fgColor rgb="00E6F4EE"/>
      </patternFill>
    </fill>
    <fill>
      <patternFill patternType="solid">
        <fgColor rgb="001B4F63"/>
      </patternFill>
    </fill>
  </fills>
  <borders count="28">
    <border>
      <left/>
      <right/>
      <top/>
      <bottom/>
      <diagonal/>
    </border>
    <border>
      <left style="thin">
        <color rgb="00DDE6EC"/>
      </left>
      <top style="thin">
        <color rgb="00DDE6EC"/>
      </top>
      <bottom style="thin">
        <color rgb="00DDE6EC"/>
      </bottom>
    </border>
    <border>
      <top style="thin">
        <color rgb="00DDE6EC"/>
      </top>
      <bottom style="thin">
        <color rgb="00DDE6EC"/>
      </bottom>
    </border>
    <border>
      <right style="thin">
        <color rgb="00DDE6EC"/>
      </right>
      <top style="thin">
        <color rgb="00DDE6EC"/>
      </top>
      <bottom style="thin">
        <color rgb="00DDE6EC"/>
      </bottom>
    </border>
    <border>
      <left/>
      <right/>
      <top style="thin">
        <color rgb="00DDE6EC"/>
      </top>
      <bottom/>
      <diagonal/>
    </border>
    <border>
      <left/>
      <right/>
      <top style="thin">
        <color rgb="00DDE6EC"/>
      </top>
      <bottom style="thin">
        <color rgb="00DDE6EC"/>
      </bottom>
      <diagonal/>
    </border>
    <border>
      <left/>
      <right style="thin">
        <color rgb="00DDE6EC"/>
      </right>
      <top style="thin">
        <color rgb="00DDE6EC"/>
      </top>
      <bottom/>
      <diagonal/>
    </border>
    <border>
      <left/>
      <right style="thin">
        <color rgb="00DDE6EC"/>
      </right>
      <top style="thin">
        <color rgb="00DDE6EC"/>
      </top>
      <bottom style="thin">
        <color rgb="00DDE6EC"/>
      </bottom>
      <diagonal/>
    </border>
    <border>
      <left style="thin">
        <color rgb="00DDE6EC"/>
      </left>
      <top style="thin">
        <color rgb="00DDE6EC"/>
      </top>
    </border>
    <border>
      <top style="thin">
        <color rgb="00DDE6EC"/>
      </top>
    </border>
    <border>
      <right style="thin">
        <color rgb="00DDE6EC"/>
      </right>
      <top style="thin">
        <color rgb="00DDE6EC"/>
      </top>
    </border>
    <border>
      <left style="thin">
        <color rgb="00DDE6EC"/>
      </left>
    </border>
    <border/>
    <border>
      <right style="thin">
        <color rgb="00DDE6EC"/>
      </right>
    </border>
    <border>
      <left style="thin">
        <color rgb="00DDE6EC"/>
      </left>
      <bottom style="thin">
        <color rgb="00DDE6EC"/>
      </bottom>
    </border>
    <border>
      <bottom style="thin">
        <color rgb="00DDE6EC"/>
      </bottom>
    </border>
    <border>
      <right style="thin">
        <color rgb="00DDE6EC"/>
      </right>
      <bottom style="thin">
        <color rgb="00DDE6EC"/>
      </bottom>
    </border>
    <border>
      <left style="thin">
        <color rgb="00E4D9B8"/>
      </left>
      <top style="thin">
        <color rgb="00E4D9B8"/>
      </top>
      <bottom style="thin">
        <color rgb="00E4D9B8"/>
      </bottom>
    </border>
    <border>
      <top style="thin">
        <color rgb="00E4D9B8"/>
      </top>
      <bottom style="thin">
        <color rgb="00E4D9B8"/>
      </bottom>
    </border>
    <border>
      <right style="thin">
        <color rgb="00E4D9B8"/>
      </right>
      <top style="thin">
        <color rgb="00E4D9B8"/>
      </top>
      <bottom style="thin">
        <color rgb="00E4D9B8"/>
      </bottom>
    </border>
    <border>
      <left/>
      <right/>
      <top/>
      <bottom style="thin">
        <color rgb="00DDE6EC"/>
      </bottom>
      <diagonal/>
    </border>
    <border>
      <left style="thin">
        <color rgb="00DDE6EC"/>
      </left>
      <right style="thin">
        <color rgb="00DDE6EC"/>
      </right>
    </border>
    <border>
      <left/>
      <right style="thin">
        <color rgb="00DDE6EC"/>
      </right>
      <top/>
      <bottom/>
      <diagonal/>
    </border>
    <border>
      <left style="thin">
        <color rgb="006E8C9C"/>
      </left>
      <top style="thin">
        <color rgb="006E8C9C"/>
      </top>
      <bottom style="thin">
        <color rgb="006E8C9C"/>
      </bottom>
    </border>
    <border>
      <top style="thin">
        <color rgb="006E8C9C"/>
      </top>
      <bottom style="thin">
        <color rgb="006E8C9C"/>
      </bottom>
    </border>
    <border>
      <right style="thin">
        <color rgb="006E8C9C"/>
      </right>
      <top style="thin">
        <color rgb="006E8C9C"/>
      </top>
      <bottom style="thin">
        <color rgb="006E8C9C"/>
      </bottom>
    </border>
    <border>
      <left style="thin">
        <color rgb="00DDE6EC"/>
      </left>
      <right style="thin">
        <color rgb="00DDE6EC"/>
      </right>
      <bottom style="thin">
        <color rgb="00DDE6EC"/>
      </bottom>
    </border>
    <border>
      <left/>
      <right style="thin">
        <color rgb="00DDE6EC"/>
      </right>
      <top/>
      <bottom style="thin">
        <color rgb="00DDE6EC"/>
      </bottom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2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center" indent="1"/>
    </xf>
    <xf numFmtId="0" fontId="9" fillId="4" borderId="23" applyAlignment="1" pivotButton="0" quotePrefix="0" xfId="0">
      <alignment horizontal="center" vertical="center"/>
    </xf>
    <xf numFmtId="0" fontId="0" fillId="4" borderId="24" pivotButton="0" quotePrefix="0" xfId="0"/>
    <xf numFmtId="0" fontId="0" fillId="4" borderId="25" pivotButton="0" quotePrefix="0" xfId="0"/>
    <xf numFmtId="0" fontId="8" fillId="2" borderId="0" applyAlignment="1" pivotButton="0" quotePrefix="0" xfId="0">
      <alignment horizontal="left" vertical="top" indent="1"/>
    </xf>
    <xf numFmtId="0" fontId="0" fillId="8" borderId="8" pivotButton="0" quotePrefix="0" xfId="0"/>
    <xf numFmtId="0" fontId="0" fillId="8" borderId="9" pivotButton="0" quotePrefix="0" xfId="0"/>
    <xf numFmtId="0" fontId="0" fillId="8" borderId="10" pivotButton="0" quotePrefix="0" xfId="0"/>
    <xf numFmtId="0" fontId="0" fillId="11" borderId="8" pivotButton="0" quotePrefix="0" xfId="0"/>
    <xf numFmtId="0" fontId="0" fillId="11" borderId="9" pivotButton="0" quotePrefix="0" xfId="0"/>
    <xf numFmtId="0" fontId="0" fillId="11" borderId="10" pivotButton="0" quotePrefix="0" xfId="0"/>
    <xf numFmtId="0" fontId="20" fillId="4" borderId="21" applyAlignment="1" pivotButton="0" quotePrefix="0" xfId="0">
      <alignment horizontal="left" vertical="center" indent="2"/>
    </xf>
    <xf numFmtId="0" fontId="0" fillId="0" borderId="22" pivotButton="0" quotePrefix="0" xfId="0"/>
    <xf numFmtId="166" fontId="21" fillId="4" borderId="21" applyAlignment="1" pivotButton="0" quotePrefix="0" xfId="0">
      <alignment horizontal="left" vertical="center" indent="1"/>
    </xf>
    <xf numFmtId="166" fontId="27" fillId="4" borderId="21" applyAlignment="1" pivotButton="0" quotePrefix="0" xfId="0">
      <alignment horizontal="left" vertical="center" indent="1"/>
    </xf>
    <xf numFmtId="49" fontId="28" fillId="4" borderId="21" applyAlignment="1" pivotButton="0" quotePrefix="0" xfId="0">
      <alignment horizontal="left" vertical="center" indent="1"/>
    </xf>
    <xf numFmtId="0" fontId="17" fillId="4" borderId="26" applyAlignment="1" pivotButton="0" quotePrefix="0" xfId="0">
      <alignment horizontal="left" vertical="top" indent="2"/>
    </xf>
    <xf numFmtId="0" fontId="0" fillId="0" borderId="20" pivotButton="0" quotePrefix="0" xfId="0"/>
    <xf numFmtId="0" fontId="0" fillId="0" borderId="27" pivotButton="0" quotePrefix="0" xfId="0"/>
    <xf numFmtId="0" fontId="29" fillId="12" borderId="0" applyAlignment="1" pivotButton="0" quotePrefix="0" xfId="0">
      <alignment horizontal="left" vertical="center" indent="2"/>
    </xf>
    <xf numFmtId="0" fontId="9" fillId="3" borderId="0" applyAlignment="1" pivotButton="0" quotePrefix="0" xfId="0">
      <alignment horizontal="left" vertical="center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0" fillId="4" borderId="14" pivotButton="0" quotePrefix="0" xfId="0"/>
    <xf numFmtId="0" fontId="0" fillId="4" borderId="15" pivotButton="0" quotePrefix="0" xfId="0"/>
    <xf numFmtId="0" fontId="0" fillId="4" borderId="16" pivotButton="0" quotePrefix="0" xfId="0"/>
    <xf numFmtId="0" fontId="4" fillId="2" borderId="0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165" fontId="25" fillId="4" borderId="2" applyAlignment="1" pivotButton="0" quotePrefix="0" xfId="0">
      <alignment horizontal="center" vertical="center"/>
    </xf>
    <xf numFmtId="167" fontId="30" fillId="4" borderId="2" applyAlignment="1" pivotButton="0" quotePrefix="0" xfId="0">
      <alignment horizontal="right" vertical="center" indent="1"/>
    </xf>
    <xf numFmtId="0" fontId="0" fillId="0" borderId="5" pivotButton="0" quotePrefix="0" xfId="0"/>
    <xf numFmtId="167" fontId="25" fillId="4" borderId="2" applyAlignment="1" pivotButton="0" quotePrefix="0" xfId="0">
      <alignment horizontal="right" vertical="center" indent="1"/>
    </xf>
    <xf numFmtId="166" fontId="11" fillId="4" borderId="2" applyAlignment="1" pivotButton="0" quotePrefix="0" xfId="0">
      <alignment horizontal="right" vertical="center" indent="1"/>
    </xf>
    <xf numFmtId="166" fontId="31" fillId="4" borderId="3" applyAlignment="1" pivotButton="0" quotePrefix="0" xfId="0">
      <alignment horizontal="right" vertical="center" indent="1"/>
    </xf>
    <xf numFmtId="0" fontId="32" fillId="4" borderId="11" applyAlignment="1" pivotButton="0" quotePrefix="0" xfId="0">
      <alignment horizontal="left" vertical="center" indent="1"/>
    </xf>
    <xf numFmtId="164" fontId="9" fillId="7" borderId="17" applyAlignment="1" pivotButton="0" quotePrefix="0" xfId="0">
      <alignment horizontal="center" vertical="center"/>
    </xf>
    <xf numFmtId="0" fontId="0" fillId="7" borderId="19" pivotButton="0" quotePrefix="0" xfId="0"/>
    <xf numFmtId="0" fontId="23" fillId="6" borderId="1" applyAlignment="1" pivotButton="0" quotePrefix="0" xfId="0">
      <alignment horizontal="center" vertical="center"/>
    </xf>
    <xf numFmtId="165" fontId="25" fillId="6" borderId="2" applyAlignment="1" pivotButton="0" quotePrefix="0" xfId="0">
      <alignment horizontal="center" vertical="center"/>
    </xf>
    <xf numFmtId="167" fontId="30" fillId="6" borderId="2" applyAlignment="1" pivotButton="0" quotePrefix="0" xfId="0">
      <alignment horizontal="right" vertical="center" indent="1"/>
    </xf>
    <xf numFmtId="167" fontId="25" fillId="6" borderId="2" applyAlignment="1" pivotButton="0" quotePrefix="0" xfId="0">
      <alignment horizontal="right" vertical="center" indent="1"/>
    </xf>
    <xf numFmtId="166" fontId="11" fillId="6" borderId="2" applyAlignment="1" pivotButton="0" quotePrefix="0" xfId="0">
      <alignment horizontal="right" vertical="center" indent="1"/>
    </xf>
    <xf numFmtId="166" fontId="31" fillId="6" borderId="3" applyAlignment="1" pivotButton="0" quotePrefix="0" xfId="0">
      <alignment horizontal="right" vertical="center" indent="1"/>
    </xf>
    <xf numFmtId="168" fontId="9" fillId="7" borderId="17" applyAlignment="1" pivotButton="0" quotePrefix="0" xfId="0">
      <alignment horizontal="center" vertical="center"/>
    </xf>
    <xf numFmtId="165" fontId="9" fillId="7" borderId="17" applyAlignment="1" pivotButton="0" quotePrefix="0" xfId="0">
      <alignment horizontal="center" vertical="center"/>
    </xf>
    <xf numFmtId="49" fontId="9" fillId="7" borderId="17" applyAlignment="1" pivotButton="0" quotePrefix="0" xfId="0">
      <alignment horizontal="center" vertical="center"/>
    </xf>
    <xf numFmtId="1" fontId="9" fillId="7" borderId="17" applyAlignment="1" pivotButton="0" quotePrefix="0" xfId="0">
      <alignment horizontal="center" vertical="center"/>
    </xf>
    <xf numFmtId="0" fontId="19" fillId="4" borderId="26" applyAlignment="1" pivotButton="0" quotePrefix="0" xfId="0">
      <alignment horizontal="left" vertical="center" indent="1"/>
    </xf>
    <xf numFmtId="0" fontId="32" fillId="4" borderId="21" applyAlignment="1" pivotButton="0" quotePrefix="0" xfId="0">
      <alignment horizontal="left" vertical="center" indent="2"/>
    </xf>
    <xf numFmtId="0" fontId="19" fillId="4" borderId="21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indent="1"/>
    </xf>
    <xf numFmtId="164" fontId="11" fillId="4" borderId="0" applyAlignment="1" pivotButton="0" quotePrefix="0" xfId="0">
      <alignment horizontal="right" vertical="center" indent="1"/>
    </xf>
    <xf numFmtId="9" fontId="11" fillId="4" borderId="0" applyAlignment="1" pivotButton="0" quotePrefix="0" xfId="0">
      <alignment horizontal="center" vertical="center"/>
    </xf>
    <xf numFmtId="164" fontId="12" fillId="5" borderId="0" applyAlignment="1" pivotButton="0" quotePrefix="0" xfId="0">
      <alignment horizontal="right" vertical="center" indent="1"/>
    </xf>
    <xf numFmtId="165" fontId="11" fillId="4" borderId="0" applyAlignment="1" pivotButton="0" quotePrefix="0" xfId="0">
      <alignment horizontal="left" vertical="center" indent="1"/>
    </xf>
    <xf numFmtId="0" fontId="11" fillId="4" borderId="0" applyAlignment="1" pivotButton="0" quotePrefix="0" xfId="0">
      <alignment horizontal="center" vertical="center"/>
    </xf>
    <xf numFmtId="165" fontId="12" fillId="5" borderId="0" applyAlignment="1" pivotButton="0" quotePrefix="0" xfId="0">
      <alignment horizontal="right" vertical="center" indent="1"/>
    </xf>
    <xf numFmtId="165" fontId="0" fillId="3" borderId="0" pivotButton="0" quotePrefix="0" xfId="0"/>
    <xf numFmtId="0" fontId="2" fillId="6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indent="1"/>
    </xf>
    <xf numFmtId="164" fontId="11" fillId="6" borderId="0" applyAlignment="1" pivotButton="0" quotePrefix="0" xfId="0">
      <alignment horizontal="right" vertical="center" indent="1"/>
    </xf>
    <xf numFmtId="9" fontId="11" fillId="6" borderId="0" applyAlignment="1" pivotButton="0" quotePrefix="0" xfId="0">
      <alignment horizontal="center" vertical="center"/>
    </xf>
    <xf numFmtId="165" fontId="11" fillId="6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 indent="1"/>
    </xf>
    <xf numFmtId="164" fontId="14" fillId="2" borderId="2" applyAlignment="1" pivotButton="0" quotePrefix="0" xfId="0">
      <alignment horizontal="right" vertical="center" indent="1"/>
    </xf>
    <xf numFmtId="0" fontId="0" fillId="2" borderId="2" pivotButton="0" quotePrefix="0" xfId="0"/>
    <xf numFmtId="164" fontId="14" fillId="2" borderId="3" applyAlignment="1" pivotButton="0" quotePrefix="0" xfId="0">
      <alignment horizontal="right" vertical="center" indent="1"/>
    </xf>
    <xf numFmtId="0" fontId="0" fillId="0" borderId="7" pivotButton="0" quotePrefix="0" xfId="0"/>
    <xf numFmtId="0" fontId="15" fillId="3" borderId="0" applyAlignment="1" pivotButton="0" quotePrefix="0" xfId="0">
      <alignment horizontal="left" vertical="center"/>
    </xf>
    <xf numFmtId="1" fontId="11" fillId="4" borderId="0" applyAlignment="1" pivotButton="0" quotePrefix="0" xfId="0">
      <alignment horizontal="center" vertical="center"/>
    </xf>
    <xf numFmtId="1" fontId="11" fillId="6" borderId="0" applyAlignment="1" pivotButton="0" quotePrefix="0" xfId="0">
      <alignment horizontal="center" vertical="center"/>
    </xf>
    <xf numFmtId="0" fontId="0" fillId="2" borderId="3" pivotButton="0" quotePrefix="0" xfId="0"/>
    <xf numFmtId="165" fontId="11" fillId="4" borderId="0" applyAlignment="1" pivotButton="0" quotePrefix="0" xfId="0">
      <alignment horizontal="center" vertical="center"/>
    </xf>
    <xf numFmtId="165" fontId="11" fillId="6" borderId="0" applyAlignment="1" pivotButton="0" quotePrefix="0" xfId="0">
      <alignment horizontal="center" vertical="center"/>
    </xf>
    <xf numFmtId="0" fontId="16" fillId="4" borderId="12" applyAlignment="1" pivotButton="0" quotePrefix="0" xfId="0">
      <alignment horizontal="left" vertical="center"/>
    </xf>
    <xf numFmtId="1" fontId="18" fillId="7" borderId="17" applyAlignment="1" pivotButton="0" quotePrefix="0" xfId="0">
      <alignment horizontal="center" vertical="center"/>
    </xf>
    <xf numFmtId="0" fontId="0" fillId="7" borderId="18" pivotButton="0" quotePrefix="0" xfId="0"/>
    <xf numFmtId="0" fontId="2" fillId="4" borderId="12" applyAlignment="1" pivotButton="0" quotePrefix="0" xfId="0">
      <alignment horizontal="left" vertical="center"/>
    </xf>
    <xf numFmtId="0" fontId="17" fillId="4" borderId="12" applyAlignment="1" pivotButton="0" quotePrefix="0" xfId="0">
      <alignment horizontal="left" vertical="top"/>
    </xf>
    <xf numFmtId="9" fontId="18" fillId="7" borderId="17" applyAlignment="1" pivotButton="0" quotePrefix="0" xfId="0">
      <alignment horizontal="center" vertical="center"/>
    </xf>
    <xf numFmtId="0" fontId="17" fillId="4" borderId="15" applyAlignment="1" pivotButton="0" quotePrefix="0" xfId="0">
      <alignment horizontal="left" vertical="top"/>
    </xf>
    <xf numFmtId="0" fontId="19" fillId="3" borderId="0" applyAlignment="1" pivotButton="0" quotePrefix="0" xfId="0">
      <alignment horizontal="left" vertical="center"/>
    </xf>
    <xf numFmtId="0" fontId="0" fillId="9" borderId="8" pivotButton="0" quotePrefix="0" xfId="0"/>
    <xf numFmtId="0" fontId="0" fillId="9" borderId="9" pivotButton="0" quotePrefix="0" xfId="0"/>
    <xf numFmtId="0" fontId="0" fillId="9" borderId="10" pivotButton="0" quotePrefix="0" xfId="0"/>
    <xf numFmtId="0" fontId="0" fillId="10" borderId="8" pivotButton="0" quotePrefix="0" xfId="0"/>
    <xf numFmtId="0" fontId="0" fillId="10" borderId="9" pivotButton="0" quotePrefix="0" xfId="0"/>
    <xf numFmtId="0" fontId="0" fillId="10" borderId="10" pivotButton="0" quotePrefix="0" xfId="0"/>
    <xf numFmtId="166" fontId="22" fillId="4" borderId="21" applyAlignment="1" pivotButton="0" quotePrefix="0" xfId="0">
      <alignment horizontal="left" vertical="center" indent="1"/>
    </xf>
    <xf numFmtId="49" fontId="21" fillId="4" borderId="21" applyAlignment="1" pivotButton="0" quotePrefix="0" xfId="0">
      <alignment horizontal="left" vertical="center" indent="1"/>
    </xf>
    <xf numFmtId="166" fontId="24" fillId="4" borderId="2" applyAlignment="1" pivotButton="0" quotePrefix="0" xfId="0">
      <alignment horizontal="right" vertical="center" indent="1"/>
    </xf>
    <xf numFmtId="167" fontId="25" fillId="4" borderId="3" applyAlignment="1" pivotButton="0" quotePrefix="0" xfId="0">
      <alignment horizontal="right" vertical="center" indent="1"/>
    </xf>
    <xf numFmtId="166" fontId="24" fillId="6" borderId="2" applyAlignment="1" pivotButton="0" quotePrefix="0" xfId="0">
      <alignment horizontal="right" vertical="center" indent="1"/>
    </xf>
    <xf numFmtId="167" fontId="25" fillId="6" borderId="3" applyAlignment="1" pivotButton="0" quotePrefix="0" xfId="0">
      <alignment horizontal="right" vertical="center" inden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4" fillId="13" borderId="0" pivotButton="0" quotePrefix="0" xfId="0"/>
    <xf numFmtId="0" fontId="4" fillId="2" borderId="0" pivotButton="0" quotePrefix="0" xfId="0"/>
    <xf numFmtId="0" fontId="5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27">
    <dxf>
      <fill>
        <patternFill>
          <bgColor rgb="00B8402F"/>
        </patternFill>
      </fill>
    </dxf>
    <dxf>
      <fill>
        <patternFill>
          <bgColor rgb="00A9761A"/>
        </patternFill>
      </fill>
    </dxf>
    <dxf>
      <fill>
        <patternFill>
          <bgColor rgb="001E8A5F"/>
        </patternFill>
      </fill>
    </dxf>
    <dxf>
      <font>
        <b val="1"/>
        <color rgb="00B8402F"/>
      </font>
    </dxf>
    <dxf>
      <font>
        <b val="1"/>
        <color rgb="00A9761A"/>
      </font>
    </dxf>
    <dxf>
      <font>
        <b val="1"/>
        <color rgb="001E8A5F"/>
      </font>
    </dxf>
    <dxf>
      <font>
        <b val="1"/>
        <color rgb="00B8402F"/>
      </font>
      <fill>
        <patternFill>
          <bgColor rgb="00FAE8E6"/>
        </patternFill>
      </fill>
    </dxf>
    <dxf>
      <font>
        <b val="1"/>
        <color rgb="00A9761A"/>
      </font>
      <fill>
        <patternFill>
          <bgColor rgb="00FDF4DE"/>
        </patternFill>
      </fill>
    </dxf>
    <dxf>
      <font>
        <b val="1"/>
        <color rgb="001E8A5F"/>
      </font>
      <fill>
        <patternFill>
          <bgColor rgb="00E6F4EE"/>
        </patternFill>
      </fill>
    </dxf>
    <dxf>
      <numFmt numFmtId="207" formatCode="&quot;€&quot;\ #,##0;-&quot;€&quot;\ #,##0;&quot;–&quot;"/>
    </dxf>
    <dxf>
      <numFmt numFmtId="216" formatCode="&quot;€&quot;\ #,##0"/>
    </dxf>
    <dxf>
      <numFmt numFmtId="214" formatCode="MM/DD/YYYY"/>
    </dxf>
    <dxf>
      <numFmt numFmtId="208" formatCode="&quot;€&quot;\ #,##0.00"/>
    </dxf>
    <dxf>
      <numFmt numFmtId="209" formatCode="&quot;€&quot;\ #,##0.00"/>
    </dxf>
    <dxf>
      <numFmt numFmtId="215" formatCode="MM/DD/YYYY"/>
    </dxf>
    <dxf>
      <font>
        <color rgb="00B8402F"/>
      </font>
      <fill>
        <patternFill>
          <bgColor rgb="00FAE8E6"/>
        </patternFill>
      </fill>
    </dxf>
    <dxf>
      <numFmt numFmtId="201" formatCode="&quot;€&quot;\ #,##0.00"/>
    </dxf>
    <dxf>
      <numFmt numFmtId="202" formatCode="&quot;€&quot;\ #,##0.00"/>
    </dxf>
    <dxf>
      <numFmt numFmtId="203" formatCode="&quot;€&quot;\ #,##0.00"/>
    </dxf>
    <dxf>
      <numFmt numFmtId="210" formatCode="MM/DD/YYYY"/>
    </dxf>
    <dxf>
      <numFmt numFmtId="211" formatCode="MM/DD/YYYY"/>
    </dxf>
    <dxf>
      <numFmt numFmtId="212" formatCode="MM/DD/YYYY"/>
    </dxf>
    <dxf>
      <numFmt numFmtId="204" formatCode="&quot;€&quot;\ #,##0.00"/>
    </dxf>
    <dxf>
      <numFmt numFmtId="205" formatCode="&quot;€&quot;\ #,##0.00"/>
    </dxf>
    <dxf>
      <numFmt numFmtId="213" formatCode="MM/DD/YYYY"/>
    </dxf>
    <dxf>
      <numFmt numFmtId="206" formatCode="&quot;€&quot;\ #,##0"/>
    </dxf>
    <dxf>
      <numFmt numFmtId="217" formatCode="&quot;€&quot;\ #,##0;-&quot;€&quot;\ #,##0;&quot;–&quot;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'Config'!U4</f>
            </strRef>
          </tx>
          <spPr>
            <a:ln w="28575">
              <a:solidFill>
                <a:srgbClr val="1B7F8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'Config'!$Y$5:$Y$16</f>
            </numRef>
          </cat>
          <val>
            <numRef>
              <f>'Config'!$U$5:$U$16</f>
            </numRef>
          </val>
          <smooth val="0"/>
        </ser>
        <ser>
          <idx val="1"/>
          <order val="1"/>
          <tx>
            <strRef>
              <f>'Config'!V4</f>
            </strRef>
          </tx>
          <spPr>
            <a:ln w="25400">
              <a:solidFill>
                <a:srgbClr val="2FA88F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'Config'!$Y$5:$Y$16</f>
            </numRef>
          </cat>
          <val>
            <numRef>
              <f>'Config'!$V$5:$V$16</f>
            </numRef>
          </val>
          <smooth val="0"/>
        </ser>
        <ser>
          <idx val="2"/>
          <order val="2"/>
          <tx>
            <strRef>
              <f>'Config'!X4</f>
            </strRef>
          </tx>
          <spPr>
            <a:ln w="12700">
              <a:solidFill>
                <a:srgbClr val="B8402F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'Config'!$Y$5:$Y$16</f>
            </numRef>
          </cat>
          <val>
            <numRef>
              <f>'Config'!$X$5:$X$16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DDE6EC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6B7C8A"/>
                </a:solidFill>
                <a:latin typeface="Segoe U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9EFF3"/>
              </a:solidFill>
              <a:prstDash val="solid"/>
            </a:ln>
          </spPr>
        </majorGridlines>
        <numFmt formatCode="#,##0\ &quot;€&quot;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6B7C8A"/>
                </a:solidFill>
                <a:latin typeface="Segoe UI"/>
              </a:defRPr>
            </a:pPr>
            <a:r>
              <a:t/>
            </a:r>
          </a:p>
        </txPr>
        <crossAx val="10"/>
      </valAx>
    </plotArea>
    <legend>
      <legendPos val="b"/>
      <overlay val="0"/>
      <txPr>
        <a:bodyPr/>
        <a:p>
          <a:pPr>
            <a:defRPr sz="900" b="0">
              <a:solidFill>
                <a:srgbClr val="1E2A32"/>
              </a:solidFill>
              <a:latin typeface="Segoe U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'Config'!U4</f>
            </strRef>
          </tx>
          <spPr>
            <a:ln w="28575">
              <a:solidFill>
                <a:srgbClr val="1B7F8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'Config'!$Y$5:$Y$16</f>
            </numRef>
          </cat>
          <val>
            <numRef>
              <f>'Config'!$U$5:$U$16</f>
            </numRef>
          </val>
          <smooth val="0"/>
        </ser>
        <ser>
          <idx val="1"/>
          <order val="1"/>
          <tx>
            <strRef>
              <f>'Config'!V4</f>
            </strRef>
          </tx>
          <spPr>
            <a:ln w="25400">
              <a:solidFill>
                <a:srgbClr val="2FA88F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'Config'!$Y$5:$Y$16</f>
            </numRef>
          </cat>
          <val>
            <numRef>
              <f>'Config'!$V$5:$V$16</f>
            </numRef>
          </val>
          <smooth val="0"/>
        </ser>
        <ser>
          <idx val="2"/>
          <order val="2"/>
          <tx>
            <strRef>
              <f>'Config'!X4</f>
            </strRef>
          </tx>
          <spPr>
            <a:ln w="12700">
              <a:solidFill>
                <a:srgbClr val="B8402F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'Config'!$Y$5:$Y$16</f>
            </numRef>
          </cat>
          <val>
            <numRef>
              <f>'Config'!$X$5:$X$16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spPr>
          <a:ln w="6350">
            <a:solidFill>
              <a:srgbClr val="DDE6EC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6B7C8A"/>
                </a:solidFill>
                <a:latin typeface="Segoe U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9EFF3"/>
              </a:solidFill>
              <a:prstDash val="solid"/>
            </a:ln>
          </spPr>
        </majorGridlines>
        <numFmt formatCode="#,##0\ &quot;€&quot;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6B7C8A"/>
                </a:solidFill>
                <a:latin typeface="Segoe UI"/>
              </a:defRPr>
            </a:pPr>
            <a:r>
              <a:t/>
            </a:r>
          </a:p>
        </txPr>
        <crossAx val="10"/>
      </valAx>
    </plotArea>
    <legend>
      <legendPos val="b"/>
      <overlay val="0"/>
      <txPr>
        <a:bodyPr/>
        <a:p>
          <a:pPr>
            <a:defRPr sz="900" b="0">
              <a:solidFill>
                <a:srgbClr val="1E2A32"/>
              </a:solidFill>
              <a:latin typeface="Segoe U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9540000" cy="313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30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03C4B"/>
    <outlinePr summaryBelow="1" summaryRight="1"/>
    <pageSetUpPr fitToPage="1"/>
  </sheetPr>
  <dimension ref="A1:Q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2" customWidth="1" min="5" max="5"/>
    <col width="11" customWidth="1" min="6" max="6"/>
    <col width="11" customWidth="1" min="7" max="7"/>
    <col width="11" customWidth="1" min="8" max="8"/>
    <col width="2" customWidth="1" min="9" max="9"/>
    <col width="11" customWidth="1" min="10" max="10"/>
    <col width="11" customWidth="1" min="11" max="11"/>
    <col width="11" customWidth="1" min="12" max="12"/>
    <col width="2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0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>
        <f>INDEX(Config!$B$6:$C$104,MATCH("ui.language",Config!$A$6:$A$104,0),LANG)</f>
        <v/>
      </c>
      <c r="Q2" s="1" t="n"/>
    </row>
    <row r="3" ht="26" customHeight="1">
      <c r="A3" s="1" t="n"/>
      <c r="B3" s="4">
        <f>INDEX(Config!$B$6:$C$104,MATCH("app.title",Config!$A$6:$A$104,0),LANG)</f>
        <v/>
      </c>
      <c r="M3" s="2" t="n"/>
      <c r="N3" s="5" t="inlineStr">
        <is>
          <t>Deutsch</t>
        </is>
      </c>
      <c r="O3" s="6" t="n"/>
      <c r="P3" s="7" t="n"/>
      <c r="Q3" s="1" t="n"/>
    </row>
    <row r="4" ht="16" customHeight="1">
      <c r="A4" s="1" t="n"/>
      <c r="B4" s="8">
        <f>INDEX(Config!$B$6:$C$104,MATCH("app.sub",Config!$A$6:$A$104,0),LANG)</f>
        <v/>
      </c>
      <c r="M4" s="2" t="n"/>
      <c r="N4" s="2" t="n"/>
      <c r="O4" s="2" t="n"/>
      <c r="P4" s="2" t="n"/>
      <c r="Q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6" customHeight="1">
      <c r="A6" s="1" t="n"/>
      <c r="B6" s="9" t="n"/>
      <c r="C6" s="10" t="n"/>
      <c r="D6" s="11" t="n"/>
      <c r="E6" s="1" t="n"/>
      <c r="F6" s="9" t="n"/>
      <c r="G6" s="10" t="n"/>
      <c r="H6" s="11" t="n"/>
      <c r="I6" s="1" t="n"/>
      <c r="J6" s="9" t="n"/>
      <c r="K6" s="10" t="n"/>
      <c r="L6" s="11" t="n"/>
      <c r="M6" s="1" t="n"/>
      <c r="N6" s="12" t="n"/>
      <c r="O6" s="13" t="n"/>
      <c r="P6" s="14" t="n"/>
      <c r="Q6" s="1" t="n"/>
    </row>
    <row r="7" ht="15" customHeight="1">
      <c r="A7" s="1" t="n"/>
      <c r="B7" s="15">
        <f>INDEX(Config!$B$6:$C$104,MATCH("kpi.balance",Config!$A$6:$A$104,0),LANG)</f>
        <v/>
      </c>
      <c r="D7" s="16" t="n"/>
      <c r="E7" s="1" t="n"/>
      <c r="F7" s="15">
        <f>INDEX(Config!$B$6:$C$104,MATCH("kpi.recv",Config!$A$6:$A$104,0),LANG)</f>
        <v/>
      </c>
      <c r="H7" s="16" t="n"/>
      <c r="I7" s="1" t="n"/>
      <c r="J7" s="15">
        <f>INDEX(Config!$B$6:$C$104,MATCH("kpi.low",Config!$A$6:$A$104,0),LANG)</f>
        <v/>
      </c>
      <c r="L7" s="16" t="n"/>
      <c r="M7" s="1" t="n"/>
      <c r="N7" s="15">
        <f>INDEX(Config!$B$6:$C$104,MATCH("kpi.status",Config!$A$6:$A$104,0),LANG)</f>
        <v/>
      </c>
      <c r="P7" s="16" t="n"/>
      <c r="Q7" s="1" t="n"/>
    </row>
    <row r="8" ht="26" customHeight="1">
      <c r="A8" s="1" t="n"/>
      <c r="B8" s="17">
        <f>OPENBAL</f>
        <v/>
      </c>
      <c r="D8" s="16" t="n"/>
      <c r="E8" s="1" t="n"/>
      <c r="F8" s="18">
        <f>SUM('Rechnungen | Invoices'!$Q$9:$Q$108)</f>
        <v/>
      </c>
      <c r="H8" s="16" t="n"/>
      <c r="I8" s="1" t="n"/>
      <c r="J8" s="17">
        <f>MIN(Config!$V$5:$V$16)</f>
        <v/>
      </c>
      <c r="L8" s="16" t="n"/>
      <c r="M8" s="1" t="n"/>
      <c r="N8" s="19">
        <f>IF(MAX(Config!$W$5:$W$16)=2,INDEX(Config!$B$6:$C$104,MATCH("status.red",Config!$A$6:$A$104,0),LANG),IF(MAX(Config!$W$5:$W$16)=1,INDEX(Config!$B$6:$C$104,MATCH("status.amber",Config!$A$6:$A$104,0),LANG),INDEX(Config!$B$6:$C$104,MATCH("status.green",Config!$A$6:$A$104,0),LANG)))</f>
        <v/>
      </c>
      <c r="P8" s="16" t="n"/>
      <c r="Q8" s="1" t="n"/>
    </row>
    <row r="9" ht="14" customHeight="1">
      <c r="A9" s="1" t="n"/>
      <c r="B9" s="20">
        <f>INDEX(Config!$B$6:$C$104,MATCH("kpi.balance.sub",Config!$A$6:$A$104,0),LANG)</f>
        <v/>
      </c>
      <c r="C9" s="21" t="n"/>
      <c r="D9" s="22" t="n"/>
      <c r="E9" s="1" t="n"/>
      <c r="F9" s="20">
        <f>COUNTIF('Rechnungen | Invoices'!$O$9:$O$108,1)&amp;" "&amp;INDEX(Config!$B$6:$C$104,MATCH("kpi.recv.sub",Config!$A$6:$A$104,0),LANG)</f>
        <v/>
      </c>
      <c r="G9" s="21" t="n"/>
      <c r="H9" s="22" t="n"/>
      <c r="I9" s="1" t="n"/>
      <c r="J9" s="20">
        <f>INDEX(Config!$B$6:$C$104,MATCH("kpi.low.sub",Config!$A$6:$A$104,0),LANG)</f>
        <v/>
      </c>
      <c r="K9" s="21" t="n"/>
      <c r="L9" s="22" t="n"/>
      <c r="M9" s="1" t="n"/>
      <c r="N9" s="20">
        <f>INDEX(Config!$B$6:$C$104,MATCH("kpi.status.sub",Config!$A$6:$A$104,0),LANG)</f>
        <v/>
      </c>
      <c r="O9" s="21" t="n"/>
      <c r="P9" s="22" t="n"/>
      <c r="Q9" s="1" t="n"/>
    </row>
    <row r="10" ht="6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26" customHeight="1">
      <c r="A12" s="1" t="n"/>
      <c r="B12" s="23">
        <f>IF(MAX(Config!$W$5:$W$16)=0,INDEX(Config!$B$6:$C$104,MATCH("alert.green",Config!$A$6:$A$104,0),LANG),IF(MAX(Config!$W$5:$W$16)=2,INDEX(Config!$B$6:$C$104,MATCH("alert.red",Config!$A$6:$A$104,0),LANG),INDEX(Config!$B$6:$C$104,MATCH("alert.amber",Config!$A$6:$A$104,0),LANG))&amp;" "&amp;INDEX(Config!$Y$5:$Y$16,MATCH(MAX(Config!$W$5:$W$16),Config!$W$5:$W$16,0))&amp;".")</f>
        <v/>
      </c>
      <c r="Q12" s="1" t="n"/>
    </row>
    <row r="13" ht="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 ht="20" customHeight="1">
      <c r="A14" s="1" t="n"/>
      <c r="B14" s="24">
        <f>INDEX(Config!$B$6:$C$104,MATCH("sec.chart",Config!$A$6:$A$104,0),LANG)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 ht="17" customHeight="1">
      <c r="A15" s="1" t="n"/>
      <c r="B15" s="25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7" t="n"/>
      <c r="Q15" s="1" t="n"/>
    </row>
    <row r="16" ht="17" customHeight="1">
      <c r="A16" s="1" t="n"/>
      <c r="B16" s="28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30" t="n"/>
      <c r="Q16" s="1" t="n"/>
    </row>
    <row r="17" ht="17" customHeight="1">
      <c r="A17" s="1" t="n"/>
      <c r="B17" s="28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30" t="n"/>
      <c r="Q17" s="1" t="n"/>
    </row>
    <row r="18" ht="17" customHeight="1">
      <c r="A18" s="1" t="n"/>
      <c r="B18" s="28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30" t="n"/>
      <c r="Q18" s="1" t="n"/>
    </row>
    <row r="19" ht="17" customHeight="1">
      <c r="A19" s="1" t="n"/>
      <c r="B19" s="28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30" t="n"/>
      <c r="Q19" s="1" t="n"/>
    </row>
    <row r="20" ht="17" customHeight="1">
      <c r="A20" s="1" t="n"/>
      <c r="B20" s="28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30" t="n"/>
      <c r="Q20" s="1" t="n"/>
    </row>
    <row r="21" ht="17" customHeight="1">
      <c r="A21" s="1" t="n"/>
      <c r="B21" s="28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30" t="n"/>
      <c r="Q21" s="1" t="n"/>
    </row>
    <row r="22" ht="17" customHeight="1">
      <c r="A22" s="1" t="n"/>
      <c r="B22" s="28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30" t="n"/>
      <c r="Q22" s="1" t="n"/>
    </row>
    <row r="23" ht="17" customHeight="1">
      <c r="A23" s="1" t="n"/>
      <c r="B23" s="28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30" t="n"/>
      <c r="Q23" s="1" t="n"/>
    </row>
    <row r="24" ht="17" customHeight="1">
      <c r="A24" s="1" t="n"/>
      <c r="B24" s="28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30" t="n"/>
      <c r="Q24" s="1" t="n"/>
    </row>
    <row r="25" ht="17" customHeight="1">
      <c r="A25" s="1" t="n"/>
      <c r="B25" s="28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30" t="n"/>
      <c r="Q25" s="1" t="n"/>
    </row>
    <row r="26" ht="17" customHeight="1">
      <c r="A26" s="1" t="n"/>
      <c r="B26" s="28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30" t="n"/>
      <c r="Q26" s="1" t="n"/>
    </row>
    <row r="27" ht="17" customHeight="1">
      <c r="A27" s="1" t="n"/>
      <c r="B27" s="28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30" t="n"/>
      <c r="Q27" s="1" t="n"/>
    </row>
    <row r="28" ht="17" customHeight="1">
      <c r="A28" s="1" t="n"/>
      <c r="B28" s="28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30" t="n"/>
      <c r="Q28" s="1" t="n"/>
    </row>
    <row r="29" ht="17" customHeight="1">
      <c r="A29" s="1" t="n"/>
      <c r="B29" s="31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3" t="n"/>
      <c r="Q29" s="1" t="n"/>
    </row>
    <row r="30" ht="10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 ht="20" customHeight="1">
      <c r="A31" s="1" t="n"/>
      <c r="B31" s="24">
        <f>INDEX(Config!$B$6:$C$104,MATCH("sec.table",Config!$A$6:$A$104,0),LANG)</f>
        <v/>
      </c>
      <c r="I31" s="1" t="n"/>
      <c r="J31" s="24">
        <f>INDEX(Config!$B$6:$C$104,MATCH("sec.settings",Config!$A$6:$A$104,0),LANG)</f>
        <v/>
      </c>
      <c r="Q31" s="1" t="n"/>
    </row>
    <row r="32" ht="24" customHeight="1">
      <c r="A32" s="1" t="n"/>
      <c r="B32" s="34">
        <f>INDEX(Config!$B$6:$C$104,MATCH("th.week",Config!$A$6:$A$104,0),LANG)</f>
        <v/>
      </c>
      <c r="C32" s="34">
        <f>INDEX(Config!$B$6:$C$104,MATCH("th.from",Config!$A$6:$A$104,0),LANG)</f>
        <v/>
      </c>
      <c r="D32" s="34">
        <f>INDEX(Config!$B$6:$C$104,MATCH("th.in",Config!$A$6:$A$104,0),LANG)</f>
        <v/>
      </c>
      <c r="F32" s="34">
        <f>INDEX(Config!$B$6:$C$104,MATCH("th.out",Config!$A$6:$A$104,0),LANG)</f>
        <v/>
      </c>
      <c r="G32" s="34">
        <f>INDEX(Config!$B$6:$C$104,MATCH("th.base",Config!$A$6:$A$104,0),LANG)</f>
        <v/>
      </c>
      <c r="H32" s="34">
        <f>INDEX(Config!$B$6:$C$104,MATCH("th.scn",Config!$A$6:$A$104,0),LANG)</f>
        <v/>
      </c>
      <c r="I32" s="1" t="n"/>
      <c r="J32" s="25" t="n"/>
      <c r="K32" s="26" t="n"/>
      <c r="L32" s="26" t="n"/>
      <c r="M32" s="26" t="n"/>
      <c r="N32" s="26" t="n"/>
      <c r="O32" s="26" t="n"/>
      <c r="P32" s="27" t="n"/>
      <c r="Q32" s="1" t="n"/>
    </row>
    <row r="33" ht="21" customHeight="1">
      <c r="A33" s="1" t="n"/>
      <c r="B33" s="35">
        <f>Config!$Y$5</f>
        <v/>
      </c>
      <c r="C33" s="36">
        <f>Config!$M$5</f>
        <v/>
      </c>
      <c r="D33" s="37">
        <f>Config!$O$5</f>
        <v/>
      </c>
      <c r="E33" s="38" t="n"/>
      <c r="F33" s="39">
        <f>-Config!$T$5</f>
        <v/>
      </c>
      <c r="G33" s="40">
        <f>Config!$U$5</f>
        <v/>
      </c>
      <c r="H33" s="41">
        <f>Config!$V$5</f>
        <v/>
      </c>
      <c r="I33" s="1" t="n"/>
      <c r="J33" s="42">
        <f>INDEX(Config!$B$6:$C$104,MATCH("set.openbal",Config!$A$6:$A$104,0),LANG)</f>
        <v/>
      </c>
      <c r="M33" s="29" t="n"/>
      <c r="N33" s="43" t="n">
        <v>6800</v>
      </c>
      <c r="O33" s="44" t="n"/>
      <c r="P33" s="30" t="n"/>
      <c r="Q33" s="1" t="n"/>
    </row>
    <row r="34" ht="21" customHeight="1">
      <c r="A34" s="1" t="n"/>
      <c r="B34" s="45">
        <f>Config!$Y$6</f>
        <v/>
      </c>
      <c r="C34" s="46">
        <f>Config!$M$6</f>
        <v/>
      </c>
      <c r="D34" s="47">
        <f>Config!$O$6</f>
        <v/>
      </c>
      <c r="E34" s="38" t="n"/>
      <c r="F34" s="48">
        <f>-Config!$T$6</f>
        <v/>
      </c>
      <c r="G34" s="49">
        <f>Config!$U$6</f>
        <v/>
      </c>
      <c r="H34" s="50">
        <f>Config!$V$6</f>
        <v/>
      </c>
      <c r="I34" s="1" t="n"/>
      <c r="J34" s="42">
        <f>INDEX(Config!$B$6:$C$104,MATCH("set.mincash",Config!$A$6:$A$104,0),LANG)</f>
        <v/>
      </c>
      <c r="M34" s="29" t="n"/>
      <c r="N34" s="43" t="n">
        <v>5000</v>
      </c>
      <c r="O34" s="44" t="n"/>
      <c r="P34" s="30" t="n"/>
      <c r="Q34" s="1" t="n"/>
    </row>
    <row r="35" ht="21" customHeight="1">
      <c r="A35" s="1" t="n"/>
      <c r="B35" s="35">
        <f>Config!$Y$7</f>
        <v/>
      </c>
      <c r="C35" s="36">
        <f>Config!$M$7</f>
        <v/>
      </c>
      <c r="D35" s="37">
        <f>Config!$O$7</f>
        <v/>
      </c>
      <c r="E35" s="38" t="n"/>
      <c r="F35" s="39">
        <f>-Config!$T$7</f>
        <v/>
      </c>
      <c r="G35" s="40">
        <f>Config!$U$7</f>
        <v/>
      </c>
      <c r="H35" s="41">
        <f>Config!$V$7</f>
        <v/>
      </c>
      <c r="I35" s="1" t="n"/>
      <c r="J35" s="42">
        <f>INDEX(Config!$B$6:$C$104,MATCH("set.yellow",Config!$A$6:$A$104,0),LANG)</f>
        <v/>
      </c>
      <c r="M35" s="29" t="n"/>
      <c r="N35" s="51" t="n">
        <v>1.5</v>
      </c>
      <c r="O35" s="44" t="n"/>
      <c r="P35" s="30" t="n"/>
      <c r="Q35" s="1" t="n"/>
    </row>
    <row r="36" ht="21" customHeight="1">
      <c r="A36" s="1" t="n"/>
      <c r="B36" s="45">
        <f>Config!$Y$8</f>
        <v/>
      </c>
      <c r="C36" s="46">
        <f>Config!$M$8</f>
        <v/>
      </c>
      <c r="D36" s="47">
        <f>Config!$O$8</f>
        <v/>
      </c>
      <c r="E36" s="38" t="n"/>
      <c r="F36" s="48">
        <f>-Config!$T$8</f>
        <v/>
      </c>
      <c r="G36" s="49">
        <f>Config!$U$8</f>
        <v/>
      </c>
      <c r="H36" s="50">
        <f>Config!$V$8</f>
        <v/>
      </c>
      <c r="I36" s="1" t="n"/>
      <c r="J36" s="42">
        <f>INDEX(Config!$B$6:$C$104,MATCH("set.start",Config!$A$6:$A$104,0),LANG)</f>
        <v/>
      </c>
      <c r="M36" s="29" t="n"/>
      <c r="N36" s="52">
        <f>TODAY()-WEEKDAY(TODAY(),3)</f>
        <v/>
      </c>
      <c r="O36" s="44" t="n"/>
      <c r="P36" s="30" t="n"/>
      <c r="Q36" s="1" t="n"/>
    </row>
    <row r="37" ht="21" customHeight="1">
      <c r="A37" s="1" t="n"/>
      <c r="B37" s="35">
        <f>Config!$Y$9</f>
        <v/>
      </c>
      <c r="C37" s="36">
        <f>Config!$M$9</f>
        <v/>
      </c>
      <c r="D37" s="37">
        <f>Config!$O$9</f>
        <v/>
      </c>
      <c r="E37" s="38" t="n"/>
      <c r="F37" s="39">
        <f>-Config!$T$9</f>
        <v/>
      </c>
      <c r="G37" s="40">
        <f>Config!$U$9</f>
        <v/>
      </c>
      <c r="H37" s="41">
        <f>Config!$V$9</f>
        <v/>
      </c>
      <c r="I37" s="1" t="n"/>
      <c r="J37" s="42">
        <f>INDEX(Config!$B$6:$C$104,MATCH("set.vat",Config!$A$6:$A$104,0),LANG)</f>
        <v/>
      </c>
      <c r="M37" s="29" t="n"/>
      <c r="N37" s="53">
        <f>Config!$H$9</f>
        <v/>
      </c>
      <c r="O37" s="44" t="n"/>
      <c r="P37" s="30" t="n"/>
      <c r="Q37" s="1" t="n"/>
    </row>
    <row r="38" ht="21" customHeight="1">
      <c r="A38" s="1" t="n"/>
      <c r="B38" s="45">
        <f>Config!$Y$10</f>
        <v/>
      </c>
      <c r="C38" s="46">
        <f>Config!$M$10</f>
        <v/>
      </c>
      <c r="D38" s="47">
        <f>Config!$O$10</f>
        <v/>
      </c>
      <c r="E38" s="38" t="n"/>
      <c r="F38" s="48">
        <f>-Config!$T$10</f>
        <v/>
      </c>
      <c r="G38" s="49">
        <f>Config!$U$10</f>
        <v/>
      </c>
      <c r="H38" s="50">
        <f>Config!$V$10</f>
        <v/>
      </c>
      <c r="I38" s="1" t="n"/>
      <c r="J38" s="42">
        <f>INDEX(Config!$B$6:$C$104,MATCH("set.vatday",Config!$A$6:$A$104,0),LANG)</f>
        <v/>
      </c>
      <c r="M38" s="29" t="n"/>
      <c r="N38" s="54" t="n">
        <v>10</v>
      </c>
      <c r="O38" s="44" t="n"/>
      <c r="P38" s="30" t="n"/>
      <c r="Q38" s="1" t="n"/>
    </row>
    <row r="39" ht="26" customHeight="1">
      <c r="A39" s="1" t="n"/>
      <c r="B39" s="35">
        <f>Config!$Y$11</f>
        <v/>
      </c>
      <c r="C39" s="36">
        <f>Config!$M$11</f>
        <v/>
      </c>
      <c r="D39" s="37">
        <f>Config!$O$11</f>
        <v/>
      </c>
      <c r="E39" s="38" t="n"/>
      <c r="F39" s="39">
        <f>-Config!$T$11</f>
        <v/>
      </c>
      <c r="G39" s="40">
        <f>Config!$U$11</f>
        <v/>
      </c>
      <c r="H39" s="41">
        <f>Config!$V$11</f>
        <v/>
      </c>
      <c r="I39" s="1" t="n"/>
      <c r="J39" s="55">
        <f>INDEX(Config!$B$6:$C$104,MATCH("set.hint",Config!$A$6:$A$104,0),LANG)</f>
        <v/>
      </c>
      <c r="K39" s="21" t="n"/>
      <c r="L39" s="21" t="n"/>
      <c r="M39" s="21" t="n"/>
      <c r="N39" s="21" t="n"/>
      <c r="O39" s="21" t="n"/>
      <c r="P39" s="22" t="n"/>
      <c r="Q39" s="1" t="n"/>
    </row>
    <row r="40" ht="18" customHeight="1">
      <c r="A40" s="1" t="n"/>
      <c r="B40" s="45">
        <f>Config!$Y$12</f>
        <v/>
      </c>
      <c r="C40" s="46">
        <f>Config!$M$12</f>
        <v/>
      </c>
      <c r="D40" s="47">
        <f>Config!$O$12</f>
        <v/>
      </c>
      <c r="E40" s="38" t="n"/>
      <c r="F40" s="48">
        <f>-Config!$T$12</f>
        <v/>
      </c>
      <c r="G40" s="49">
        <f>Config!$U$12</f>
        <v/>
      </c>
      <c r="H40" s="50">
        <f>Config!$V$12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 ht="18" customHeight="1">
      <c r="A41" s="1" t="n"/>
      <c r="B41" s="35">
        <f>Config!$Y$13</f>
        <v/>
      </c>
      <c r="C41" s="36">
        <f>Config!$M$13</f>
        <v/>
      </c>
      <c r="D41" s="37">
        <f>Config!$O$13</f>
        <v/>
      </c>
      <c r="E41" s="38" t="n"/>
      <c r="F41" s="39">
        <f>-Config!$T$13</f>
        <v/>
      </c>
      <c r="G41" s="40">
        <f>Config!$U$13</f>
        <v/>
      </c>
      <c r="H41" s="41">
        <f>Config!$V$13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 ht="18" customHeight="1">
      <c r="A42" s="1" t="n"/>
      <c r="B42" s="45">
        <f>Config!$Y$14</f>
        <v/>
      </c>
      <c r="C42" s="46">
        <f>Config!$M$14</f>
        <v/>
      </c>
      <c r="D42" s="47">
        <f>Config!$O$14</f>
        <v/>
      </c>
      <c r="E42" s="38" t="n"/>
      <c r="F42" s="48">
        <f>-Config!$T$14</f>
        <v/>
      </c>
      <c r="G42" s="49">
        <f>Config!$U$14</f>
        <v/>
      </c>
      <c r="H42" s="50">
        <f>Config!$V$14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 ht="18" customHeight="1">
      <c r="A43" s="1" t="n"/>
      <c r="B43" s="35">
        <f>Config!$Y$15</f>
        <v/>
      </c>
      <c r="C43" s="36">
        <f>Config!$M$15</f>
        <v/>
      </c>
      <c r="D43" s="37">
        <f>Config!$O$15</f>
        <v/>
      </c>
      <c r="E43" s="38" t="n"/>
      <c r="F43" s="39">
        <f>-Config!$T$15</f>
        <v/>
      </c>
      <c r="G43" s="40">
        <f>Config!$U$15</f>
        <v/>
      </c>
      <c r="H43" s="41">
        <f>Config!$V$15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 ht="18" customHeight="1">
      <c r="A44" s="1" t="n"/>
      <c r="B44" s="45">
        <f>Config!$Y$16</f>
        <v/>
      </c>
      <c r="C44" s="46">
        <f>Config!$M$16</f>
        <v/>
      </c>
      <c r="D44" s="47">
        <f>Config!$O$16</f>
        <v/>
      </c>
      <c r="E44" s="38" t="n"/>
      <c r="F44" s="48">
        <f>-Config!$T$16</f>
        <v/>
      </c>
      <c r="G44" s="49">
        <f>Config!$U$16</f>
        <v/>
      </c>
      <c r="H44" s="50">
        <f>Config!$V$16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 ht="10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 ht="20" customHeight="1">
      <c r="A46" s="1" t="n"/>
      <c r="B46" s="24">
        <f>INDEX(Config!$B$6:$C$104,MATCH("sec.help",Config!$A$6:$A$104,0),LANG)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25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7" t="n"/>
      <c r="Q47" s="1" t="n"/>
    </row>
    <row r="48" ht="17" customHeight="1">
      <c r="A48" s="1" t="n"/>
      <c r="B48" s="56">
        <f>INDEX(Config!$B$6:$C$104,MATCH("help.1",Config!$A$6:$A$104,0),LANG)</f>
        <v/>
      </c>
      <c r="P48" s="16" t="n"/>
      <c r="Q48" s="1" t="n"/>
    </row>
    <row r="49" ht="17" customHeight="1">
      <c r="A49" s="1" t="n"/>
      <c r="B49" s="56">
        <f>INDEX(Config!$B$6:$C$104,MATCH("help.2",Config!$A$6:$A$104,0),LANG)</f>
        <v/>
      </c>
      <c r="P49" s="16" t="n"/>
      <c r="Q49" s="1" t="n"/>
    </row>
    <row r="50" ht="17" customHeight="1">
      <c r="A50" s="1" t="n"/>
      <c r="B50" s="56">
        <f>INDEX(Config!$B$6:$C$104,MATCH("help.3",Config!$A$6:$A$104,0),LANG)</f>
        <v/>
      </c>
      <c r="P50" s="16" t="n"/>
      <c r="Q50" s="1" t="n"/>
    </row>
    <row r="51" ht="17" customHeight="1">
      <c r="A51" s="1" t="n"/>
      <c r="B51" s="56">
        <f>INDEX(Config!$B$6:$C$104,MATCH("help.4",Config!$A$6:$A$104,0),LANG)</f>
        <v/>
      </c>
      <c r="P51" s="16" t="n"/>
      <c r="Q51" s="1" t="n"/>
    </row>
    <row r="52" ht="17" customHeight="1">
      <c r="A52" s="1" t="n"/>
      <c r="B52" s="56">
        <f>INDEX(Config!$B$6:$C$104,MATCH("help.5",Config!$A$6:$A$104,0),LANG)</f>
        <v/>
      </c>
      <c r="P52" s="16" t="n"/>
      <c r="Q52" s="1" t="n"/>
    </row>
    <row r="53">
      <c r="A53" s="1" t="n"/>
      <c r="B53" s="57">
        <f>INDEX(Config!$B$6:$C$104,MATCH("foot.note",Config!$A$6:$A$104,0),LANG)</f>
        <v/>
      </c>
      <c r="P53" s="16" t="n"/>
      <c r="Q53" s="1" t="n"/>
    </row>
    <row r="54">
      <c r="A54" s="1" t="n"/>
      <c r="B54" s="31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3" t="n"/>
      <c r="Q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</sheetData>
  <mergeCells count="53">
    <mergeCell ref="B4:L4"/>
    <mergeCell ref="N35:O35"/>
    <mergeCell ref="J31:P31"/>
    <mergeCell ref="N2:P2"/>
    <mergeCell ref="B48:P48"/>
    <mergeCell ref="D34:E34"/>
    <mergeCell ref="B8:D8"/>
    <mergeCell ref="J36:L36"/>
    <mergeCell ref="B52:P52"/>
    <mergeCell ref="B3:L3"/>
    <mergeCell ref="J34:L34"/>
    <mergeCell ref="F8:H8"/>
    <mergeCell ref="J35:L35"/>
    <mergeCell ref="N8:P8"/>
    <mergeCell ref="D40:E40"/>
    <mergeCell ref="D36:E36"/>
    <mergeCell ref="N37:O37"/>
    <mergeCell ref="B53:P53"/>
    <mergeCell ref="J7:L7"/>
    <mergeCell ref="N36:O36"/>
    <mergeCell ref="J39:P39"/>
    <mergeCell ref="B9:D9"/>
    <mergeCell ref="N9:P9"/>
    <mergeCell ref="D32:E32"/>
    <mergeCell ref="N33:O33"/>
    <mergeCell ref="F9:H9"/>
    <mergeCell ref="D41:E41"/>
    <mergeCell ref="B49:P49"/>
    <mergeCell ref="B31:H31"/>
    <mergeCell ref="B46:H46"/>
    <mergeCell ref="J33:L33"/>
    <mergeCell ref="B51:P51"/>
    <mergeCell ref="D43:E43"/>
    <mergeCell ref="N38:O38"/>
    <mergeCell ref="D37:E37"/>
    <mergeCell ref="J8:L8"/>
    <mergeCell ref="B50:P50"/>
    <mergeCell ref="B7:D7"/>
    <mergeCell ref="D39:E39"/>
    <mergeCell ref="N7:P7"/>
    <mergeCell ref="B14:H14"/>
    <mergeCell ref="J38:L38"/>
    <mergeCell ref="D42:E42"/>
    <mergeCell ref="N34:O34"/>
    <mergeCell ref="D33:E33"/>
    <mergeCell ref="J37:L37"/>
    <mergeCell ref="D38:E38"/>
    <mergeCell ref="F7:H7"/>
    <mergeCell ref="J9:L9"/>
    <mergeCell ref="B12:P12"/>
    <mergeCell ref="D44:E44"/>
    <mergeCell ref="N3:P3"/>
    <mergeCell ref="D35:E35"/>
  </mergeCells>
  <conditionalFormatting sqref="N6:P6">
    <cfRule type="expression" priority="1" dxfId="0">
      <formula>MAX(Config!$W$5:$W$16)=2</formula>
    </cfRule>
    <cfRule type="expression" priority="3" dxfId="1">
      <formula>MAX(Config!$W$5:$W$16)=1</formula>
    </cfRule>
    <cfRule type="expression" priority="5" dxfId="2">
      <formula>MAX(Config!$W$5:$W$16)=0</formula>
    </cfRule>
  </conditionalFormatting>
  <conditionalFormatting sqref="N8:P8">
    <cfRule type="expression" priority="2" dxfId="3">
      <formula>MAX(Config!$W$5:$W$16)=2</formula>
    </cfRule>
    <cfRule type="expression" priority="4" dxfId="4">
      <formula>MAX(Config!$W$5:$W$16)=1</formula>
    </cfRule>
    <cfRule type="expression" priority="6" dxfId="5">
      <formula>MAX(Config!$W$5:$W$16)=0</formula>
    </cfRule>
  </conditionalFormatting>
  <conditionalFormatting sqref="J8:L8">
    <cfRule type="expression" priority="7" dxfId="3">
      <formula>MIN(Config!$V$5:$V$16)&lt;MINCASH</formula>
    </cfRule>
  </conditionalFormatting>
  <conditionalFormatting sqref="B12:P12">
    <cfRule type="expression" priority="8" dxfId="6">
      <formula>MAX(Config!$W$5:$W$16)=2</formula>
    </cfRule>
    <cfRule type="expression" priority="9" dxfId="7">
      <formula>MAX(Config!$W$5:$W$16)=1</formula>
    </cfRule>
    <cfRule type="expression" priority="10" dxfId="8">
      <formula>MAX(Config!$W$5:$W$16)=0</formula>
    </cfRule>
  </conditionalFormatting>
  <conditionalFormatting sqref="B33:B44">
    <cfRule type="expression" priority="11" dxfId="6">
      <formula>=INDEX(Config!$W$5:$W$16,ROW()-32)=2</formula>
    </cfRule>
    <cfRule type="expression" priority="12" dxfId="7">
      <formula>=INDEX(Config!$W$5:$W$16,ROW()-32)=1</formula>
    </cfRule>
    <cfRule type="expression" priority="13" dxfId="8">
      <formula>=INDEX(Config!$W$5:$W$16,ROW()-32)=0</formula>
    </cfRule>
  </conditionalFormatting>
  <conditionalFormatting sqref="H33:H44">
    <cfRule type="expression" priority="14" dxfId="3">
      <formula>=INDEX(Config!$W$5:$W$16,ROW()-32)=2</formula>
    </cfRule>
    <cfRule type="expression" priority="15" dxfId="4">
      <formula>=INDEX(Config!$W$5:$W$16,ROW()-32)=1</formula>
    </cfRule>
    <cfRule type="expression" priority="16" dxfId="5">
      <formula>=INDEX(Config!$W$5:$W$16,ROW()-32)=0</formula>
    </cfRule>
  </conditionalFormatting>
  <conditionalFormatting sqref="D33:F44">
    <cfRule type="expression" priority="17" dxfId="9">
      <formula>LANG=2</formula>
    </cfRule>
  </conditionalFormatting>
  <conditionalFormatting sqref="G33:H44">
    <cfRule type="expression" priority="18" dxfId="10">
      <formula>LANG=2</formula>
    </cfRule>
  </conditionalFormatting>
  <conditionalFormatting sqref="C33:C44">
    <cfRule type="expression" priority="19" dxfId="11">
      <formula>LANG=2</formula>
    </cfRule>
  </conditionalFormatting>
  <conditionalFormatting sqref="N33:O33">
    <cfRule type="expression" priority="20" dxfId="12">
      <formula>LANG=2</formula>
    </cfRule>
  </conditionalFormatting>
  <conditionalFormatting sqref="N34:O34">
    <cfRule type="expression" priority="21" dxfId="13">
      <formula>LANG=2</formula>
    </cfRule>
  </conditionalFormatting>
  <conditionalFormatting sqref="N36:O36">
    <cfRule type="expression" priority="22" dxfId="14">
      <formula>LANG=2</formula>
    </cfRule>
  </conditionalFormatting>
  <dataValidations count="3">
    <dataValidation sqref="N3" showDropDown="0" showInputMessage="0" showErrorMessage="0" allowBlank="0" type="list">
      <formula1>"Deutsch,English"</formula1>
    </dataValidation>
    <dataValidation sqref="N37" showDropDown="0" showInputMessage="0" showErrorMessage="0" allowBlank="0" type="list">
      <formula1>Config!$H$8:$H$9</formula1>
    </dataValidation>
    <dataValidation sqref="N38" showDropDown="0" showInputMessage="0" showErrorMessage="0" allowBlank="1" type="whole" operator="between">
      <formula1>1</formula1>
      <formula2>28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B7F8C"/>
    <outlinePr summaryBelow="1" summaryRight="1"/>
    <pageSetUpPr/>
  </sheetPr>
  <dimension ref="A1:T114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.5" customWidth="1" min="2" max="2"/>
    <col width="26" customWidth="1" min="3" max="3"/>
    <col width="14" customWidth="1" min="4" max="4"/>
    <col width="14" customWidth="1" min="5" max="5"/>
    <col width="9.5" customWidth="1" min="6" max="6"/>
    <col width="14" customWidth="1" min="7" max="7"/>
    <col width="15" customWidth="1" min="8" max="8"/>
    <col width="16" customWidth="1" min="9" max="9"/>
    <col width="14" customWidth="1" min="10" max="10"/>
    <col width="13" customWidth="1" min="11" max="11"/>
    <col width="18" customWidth="1" min="12" max="12"/>
    <col width="18" customWidth="1" min="13" max="13"/>
    <col width="2" customWidth="1" min="14" max="14"/>
    <col hidden="1" width="12" customWidth="1" min="15" max="15"/>
    <col hidden="1" width="12" customWidth="1" min="16" max="16"/>
    <col hidden="1" width="12" customWidth="1" min="17" max="17"/>
    <col hidden="1" width="12" customWidth="1" min="18" max="18"/>
    <col hidden="1" width="12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0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" t="n"/>
      <c r="O2" s="1" t="n"/>
      <c r="P2" s="1" t="n"/>
      <c r="Q2" s="1" t="n"/>
      <c r="R2" s="1" t="n"/>
      <c r="S2" s="1" t="n"/>
      <c r="T2" s="1" t="n"/>
    </row>
    <row r="3" ht="26" customHeight="1">
      <c r="A3" s="1" t="n"/>
      <c r="B3" s="4">
        <f>INDEX(Config!$B$6:$C$104,MATCH("app.title",Config!$A$6:$A$104,0),LANG)</f>
        <v/>
      </c>
      <c r="J3" s="2" t="n"/>
      <c r="K3" s="2" t="n"/>
      <c r="L3" s="2" t="n"/>
      <c r="M3" s="2" t="n"/>
      <c r="N3" s="1" t="n"/>
      <c r="O3" s="1" t="n"/>
      <c r="P3" s="1" t="n"/>
      <c r="Q3" s="1" t="n"/>
      <c r="R3" s="1" t="n"/>
      <c r="S3" s="1" t="n"/>
      <c r="T3" s="1" t="n"/>
    </row>
    <row r="4" ht="16" customHeight="1">
      <c r="A4" s="1" t="n"/>
      <c r="B4" s="8">
        <f>INDEX(Config!$B$6:$C$104,MATCH("inv.title",Config!$A$6:$A$104,0),LANG)</f>
        <v/>
      </c>
      <c r="J4" s="2" t="n"/>
      <c r="K4" s="2" t="n"/>
      <c r="L4" s="2" t="n"/>
      <c r="M4" s="2" t="n"/>
      <c r="N4" s="1" t="n"/>
      <c r="O4" s="1" t="n"/>
      <c r="P4" s="1" t="n"/>
      <c r="Q4" s="1" t="n"/>
      <c r="R4" s="1" t="n"/>
      <c r="S4" s="1" t="n"/>
      <c r="T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20" customHeight="1">
      <c r="A6" s="1" t="n"/>
      <c r="B6" s="24">
        <f>INDEX(Config!$B$6:$C$104,MATCH("inv.title",Config!$A$6:$A$104,0),LANG)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16" customHeight="1">
      <c r="A7" s="1" t="n"/>
      <c r="B7" s="58">
        <f>INDEX(Config!$B$6:$C$104,MATCH("inv.hint",Config!$A$6:$A$104,0),LANG)</f>
        <v/>
      </c>
      <c r="N7" s="1" t="n"/>
      <c r="O7" s="1" t="n"/>
      <c r="P7" s="1" t="n"/>
      <c r="Q7" s="1" t="n"/>
      <c r="R7" s="1" t="n"/>
      <c r="S7" s="1" t="n"/>
      <c r="T7" s="1" t="n"/>
    </row>
    <row r="8" ht="30" customHeight="1">
      <c r="A8" s="1" t="n"/>
      <c r="B8" s="59">
        <f>INDEX(Config!$B$6:$C$104,MATCH("inv.h.no",Config!$A$6:$A$104,0),LANG)</f>
        <v/>
      </c>
      <c r="C8" s="59">
        <f>INDEX(Config!$B$6:$C$104,MATCH("inv.h.customer",Config!$A$6:$A$104,0),LANG)</f>
        <v/>
      </c>
      <c r="D8" s="59">
        <f>INDEX(Config!$B$6:$C$104,MATCH("inv.h.invno",Config!$A$6:$A$104,0),LANG)</f>
        <v/>
      </c>
      <c r="E8" s="59">
        <f>INDEX(Config!$B$6:$C$104,MATCH("inv.h.amount",Config!$A$6:$A$104,0),LANG)</f>
        <v/>
      </c>
      <c r="F8" s="59">
        <f>INDEX(Config!$B$6:$C$104,MATCH("inv.h.vat",Config!$A$6:$A$104,0),LANG)</f>
        <v/>
      </c>
      <c r="G8" s="59">
        <f>INDEX(Config!$B$6:$C$104,MATCH("inv.h.gross",Config!$A$6:$A$104,0),LANG)</f>
        <v/>
      </c>
      <c r="H8" s="59">
        <f>INDEX(Config!$B$6:$C$104,MATCH("inv.h.date",Config!$A$6:$A$104,0),LANG)</f>
        <v/>
      </c>
      <c r="I8" s="59">
        <f>INDEX(Config!$B$6:$C$104,MATCH("inv.h.terms",Config!$A$6:$A$104,0),LANG)</f>
        <v/>
      </c>
      <c r="J8" s="59">
        <f>INDEX(Config!$B$6:$C$104,MATCH("inv.h.due",Config!$A$6:$A$104,0),LANG)</f>
        <v/>
      </c>
      <c r="K8" s="59">
        <f>INDEX(Config!$B$6:$C$104,MATCH("inv.h.status",Config!$A$6:$A$104,0),LANG)</f>
        <v/>
      </c>
      <c r="L8" s="59">
        <f>INDEX(Config!$B$6:$C$104,MATCH("inv.h.expdate",Config!$A$6:$A$104,0),LANG)</f>
        <v/>
      </c>
      <c r="M8" s="59">
        <f>INDEX(Config!$B$6:$C$104,MATCH("inv.h.expamt",Config!$A$6:$A$104,0),LANG)</f>
        <v/>
      </c>
      <c r="N8" s="1" t="n"/>
      <c r="O8" s="1" t="n"/>
      <c r="P8" s="1" t="n"/>
      <c r="Q8" s="1" t="n"/>
      <c r="R8" s="1" t="n"/>
      <c r="S8" s="1" t="n"/>
      <c r="T8" s="1" t="n"/>
    </row>
    <row r="9" ht="17" customHeight="1">
      <c r="A9" s="1" t="n"/>
      <c r="B9" s="60" t="n">
        <v>1</v>
      </c>
      <c r="C9" s="61" t="inlineStr">
        <is>
          <t>Meier &amp; Partner GmbH</t>
        </is>
      </c>
      <c r="D9" s="61" t="inlineStr">
        <is>
          <t>RE-2601</t>
        </is>
      </c>
      <c r="E9" s="62" t="n">
        <v>1850</v>
      </c>
      <c r="F9" s="63">
        <f>IF(VATON=1,0.19,"")</f>
        <v/>
      </c>
      <c r="G9" s="64">
        <f>IF($E9="","",$E9*(1+IF(VATON=1,N($F9),0)))</f>
        <v/>
      </c>
      <c r="H9" s="65">
        <f>TODAY()-38</f>
        <v/>
      </c>
      <c r="I9" s="66" t="n">
        <v>30</v>
      </c>
      <c r="J9" s="67">
        <f>IF($H9="","",$H9+N($I9))</f>
        <v/>
      </c>
      <c r="K9" s="66">
        <f>Config!$H$5</f>
        <v/>
      </c>
      <c r="L9" s="67">
        <f>IF($O9=0,"",MAX($J9,START)+DELAY_ALL+IF($C9=SCN_CUSTOMER,DELAY_CUSTOMER,0))</f>
        <v/>
      </c>
      <c r="M9" s="64">
        <f>IF($O9=0,"",$S9)</f>
        <v/>
      </c>
      <c r="N9" s="1" t="n"/>
      <c r="O9" s="1">
        <f>IF($K9="",0,IF(COUNTIF(Config!$F$5:$G$5,$K9)&gt;0,1,0))</f>
        <v/>
      </c>
      <c r="P9" s="1">
        <f>IF($E9="",0,IF(VATON=1,$E9*N($F9),0))</f>
        <v/>
      </c>
      <c r="Q9" s="1">
        <f>IF($O9=0,0,N($G9))</f>
        <v/>
      </c>
      <c r="R9" s="68">
        <f>IF($O9=0,"",MAX($J9,START))</f>
        <v/>
      </c>
      <c r="S9" s="1">
        <f>IF($O9=0,0,N($G9)*(1-IF($C9=SCN_CUSTOMER,LOSS_RATE,0)))</f>
        <v/>
      </c>
      <c r="T9" s="1" t="n"/>
    </row>
    <row r="10" ht="17" customHeight="1">
      <c r="A10" s="1" t="n"/>
      <c r="B10" s="69" t="n">
        <v>2</v>
      </c>
      <c r="C10" s="70" t="inlineStr">
        <is>
          <t>Stadtwerke Lindau</t>
        </is>
      </c>
      <c r="D10" s="70" t="inlineStr">
        <is>
          <t>RE-2602</t>
        </is>
      </c>
      <c r="E10" s="71" t="n">
        <v>780</v>
      </c>
      <c r="F10" s="72">
        <f>IF(VATON=1,0.19,"")</f>
        <v/>
      </c>
      <c r="G10" s="64">
        <f>IF($E10="","",$E10*(1+IF(VATON=1,N($F10),0)))</f>
        <v/>
      </c>
      <c r="H10" s="73">
        <f>TODAY()-31</f>
        <v/>
      </c>
      <c r="I10" s="74" t="n">
        <v>14</v>
      </c>
      <c r="J10" s="67">
        <f>IF($H10="","",$H10+N($I10))</f>
        <v/>
      </c>
      <c r="K10" s="74">
        <f>Config!$H$5</f>
        <v/>
      </c>
      <c r="L10" s="67">
        <f>IF($O10=0,"",MAX($J10,START)+DELAY_ALL+IF($C10=SCN_CUSTOMER,DELAY_CUSTOMER,0))</f>
        <v/>
      </c>
      <c r="M10" s="64">
        <f>IF($O10=0,"",$S10)</f>
        <v/>
      </c>
      <c r="N10" s="1" t="n"/>
      <c r="O10" s="1">
        <f>IF($K10="",0,IF(COUNTIF(Config!$F$5:$G$5,$K10)&gt;0,1,0))</f>
        <v/>
      </c>
      <c r="P10" s="1">
        <f>IF($E10="",0,IF(VATON=1,$E10*N($F10),0))</f>
        <v/>
      </c>
      <c r="Q10" s="1">
        <f>IF($O10=0,0,N($G10))</f>
        <v/>
      </c>
      <c r="R10" s="68">
        <f>IF($O10=0,"",MAX($J10,START))</f>
        <v/>
      </c>
      <c r="S10" s="1">
        <f>IF($O10=0,0,N($G10)*(1-IF($C10=SCN_CUSTOMER,LOSS_RATE,0)))</f>
        <v/>
      </c>
      <c r="T10" s="1" t="n"/>
    </row>
    <row r="11" ht="17" customHeight="1">
      <c r="A11" s="1" t="n"/>
      <c r="B11" s="60" t="n">
        <v>3</v>
      </c>
      <c r="C11" s="61" t="inlineStr">
        <is>
          <t>Kreativagentur Nord</t>
        </is>
      </c>
      <c r="D11" s="61" t="inlineStr">
        <is>
          <t>RE-2603</t>
        </is>
      </c>
      <c r="E11" s="62" t="n">
        <v>1240</v>
      </c>
      <c r="F11" s="63">
        <f>IF(VATON=1,0.19,"")</f>
        <v/>
      </c>
      <c r="G11" s="64">
        <f>IF($E11="","",$E11*(1+IF(VATON=1,N($F11),0)))</f>
        <v/>
      </c>
      <c r="H11" s="65">
        <f>TODAY()-22</f>
        <v/>
      </c>
      <c r="I11" s="66" t="n">
        <v>30</v>
      </c>
      <c r="J11" s="67">
        <f>IF($H11="","",$H11+N($I11))</f>
        <v/>
      </c>
      <c r="K11" s="66">
        <f>Config!$H$5</f>
        <v/>
      </c>
      <c r="L11" s="67">
        <f>IF($O11=0,"",MAX($J11,START)+DELAY_ALL+IF($C11=SCN_CUSTOMER,DELAY_CUSTOMER,0))</f>
        <v/>
      </c>
      <c r="M11" s="64">
        <f>IF($O11=0,"",$S11)</f>
        <v/>
      </c>
      <c r="N11" s="1" t="n"/>
      <c r="O11" s="1">
        <f>IF($K11="",0,IF(COUNTIF(Config!$F$5:$G$5,$K11)&gt;0,1,0))</f>
        <v/>
      </c>
      <c r="P11" s="1">
        <f>IF($E11="",0,IF(VATON=1,$E11*N($F11),0))</f>
        <v/>
      </c>
      <c r="Q11" s="1">
        <f>IF($O11=0,0,N($G11))</f>
        <v/>
      </c>
      <c r="R11" s="68">
        <f>IF($O11=0,"",MAX($J11,START))</f>
        <v/>
      </c>
      <c r="S11" s="1">
        <f>IF($O11=0,0,N($G11)*(1-IF($C11=SCN_CUSTOMER,LOSS_RATE,0)))</f>
        <v/>
      </c>
      <c r="T11" s="1" t="n"/>
    </row>
    <row r="12" ht="17" customHeight="1">
      <c r="A12" s="1" t="n"/>
      <c r="B12" s="69" t="n">
        <v>4</v>
      </c>
      <c r="C12" s="70" t="inlineStr">
        <is>
          <t>Bauer Consulting KG</t>
        </is>
      </c>
      <c r="D12" s="70" t="inlineStr">
        <is>
          <t>RE-2604</t>
        </is>
      </c>
      <c r="E12" s="71" t="n">
        <v>4500</v>
      </c>
      <c r="F12" s="72">
        <f>IF(VATON=1,0.19,"")</f>
        <v/>
      </c>
      <c r="G12" s="64">
        <f>IF($E12="","",$E12*(1+IF(VATON=1,N($F12),0)))</f>
        <v/>
      </c>
      <c r="H12" s="73">
        <f>TODAY()-18</f>
        <v/>
      </c>
      <c r="I12" s="74" t="n">
        <v>45</v>
      </c>
      <c r="J12" s="67">
        <f>IF($H12="","",$H12+N($I12))</f>
        <v/>
      </c>
      <c r="K12" s="74">
        <f>Config!$H$5</f>
        <v/>
      </c>
      <c r="L12" s="67">
        <f>IF($O12=0,"",MAX($J12,START)+DELAY_ALL+IF($C12=SCN_CUSTOMER,DELAY_CUSTOMER,0))</f>
        <v/>
      </c>
      <c r="M12" s="64">
        <f>IF($O12=0,"",$S12)</f>
        <v/>
      </c>
      <c r="N12" s="1" t="n"/>
      <c r="O12" s="1">
        <f>IF($K12="",0,IF(COUNTIF(Config!$F$5:$G$5,$K12)&gt;0,1,0))</f>
        <v/>
      </c>
      <c r="P12" s="1">
        <f>IF($E12="",0,IF(VATON=1,$E12*N($F12),0))</f>
        <v/>
      </c>
      <c r="Q12" s="1">
        <f>IF($O12=0,0,N($G12))</f>
        <v/>
      </c>
      <c r="R12" s="68">
        <f>IF($O12=0,"",MAX($J12,START))</f>
        <v/>
      </c>
      <c r="S12" s="1">
        <f>IF($O12=0,0,N($G12)*(1-IF($C12=SCN_CUSTOMER,LOSS_RATE,0)))</f>
        <v/>
      </c>
      <c r="T12" s="1" t="n"/>
    </row>
    <row r="13" ht="17" customHeight="1">
      <c r="A13" s="1" t="n"/>
      <c r="B13" s="60" t="n">
        <v>5</v>
      </c>
      <c r="C13" s="61" t="inlineStr">
        <is>
          <t>Hotel Seeblick</t>
        </is>
      </c>
      <c r="D13" s="61" t="inlineStr">
        <is>
          <t>RE-2605</t>
        </is>
      </c>
      <c r="E13" s="62" t="n">
        <v>640</v>
      </c>
      <c r="F13" s="63">
        <f>IF(VATON=1,0.19,"")</f>
        <v/>
      </c>
      <c r="G13" s="64">
        <f>IF($E13="","",$E13*(1+IF(VATON=1,N($F13),0)))</f>
        <v/>
      </c>
      <c r="H13" s="65">
        <f>TODAY()-14</f>
        <v/>
      </c>
      <c r="I13" s="66" t="n">
        <v>14</v>
      </c>
      <c r="J13" s="67">
        <f>IF($H13="","",$H13+N($I13))</f>
        <v/>
      </c>
      <c r="K13" s="66">
        <f>Config!$H$5</f>
        <v/>
      </c>
      <c r="L13" s="67">
        <f>IF($O13=0,"",MAX($J13,START)+DELAY_ALL+IF($C13=SCN_CUSTOMER,DELAY_CUSTOMER,0))</f>
        <v/>
      </c>
      <c r="M13" s="64">
        <f>IF($O13=0,"",$S13)</f>
        <v/>
      </c>
      <c r="N13" s="1" t="n"/>
      <c r="O13" s="1">
        <f>IF($K13="",0,IF(COUNTIF(Config!$F$5:$G$5,$K13)&gt;0,1,0))</f>
        <v/>
      </c>
      <c r="P13" s="1">
        <f>IF($E13="",0,IF(VATON=1,$E13*N($F13),0))</f>
        <v/>
      </c>
      <c r="Q13" s="1">
        <f>IF($O13=0,0,N($G13))</f>
        <v/>
      </c>
      <c r="R13" s="68">
        <f>IF($O13=0,"",MAX($J13,START))</f>
        <v/>
      </c>
      <c r="S13" s="1">
        <f>IF($O13=0,0,N($G13)*(1-IF($C13=SCN_CUSTOMER,LOSS_RATE,0)))</f>
        <v/>
      </c>
      <c r="T13" s="1" t="n"/>
    </row>
    <row r="14" ht="17" customHeight="1">
      <c r="A14" s="1" t="n"/>
      <c r="B14" s="69" t="n">
        <v>6</v>
      </c>
      <c r="C14" s="70" t="inlineStr">
        <is>
          <t>TechnoPlus AG</t>
        </is>
      </c>
      <c r="D14" s="70" t="inlineStr">
        <is>
          <t>RE-2606</t>
        </is>
      </c>
      <c r="E14" s="71" t="n">
        <v>8400</v>
      </c>
      <c r="F14" s="72">
        <f>IF(VATON=1,0.19,"")</f>
        <v/>
      </c>
      <c r="G14" s="64">
        <f>IF($E14="","",$E14*(1+IF(VATON=1,N($F14),0)))</f>
        <v/>
      </c>
      <c r="H14" s="73">
        <f>TODAY()-11</f>
        <v/>
      </c>
      <c r="I14" s="74" t="n">
        <v>60</v>
      </c>
      <c r="J14" s="67">
        <f>IF($H14="","",$H14+N($I14))</f>
        <v/>
      </c>
      <c r="K14" s="74">
        <f>Config!$H$5</f>
        <v/>
      </c>
      <c r="L14" s="67">
        <f>IF($O14=0,"",MAX($J14,START)+DELAY_ALL+IF($C14=SCN_CUSTOMER,DELAY_CUSTOMER,0))</f>
        <v/>
      </c>
      <c r="M14" s="64">
        <f>IF($O14=0,"",$S14)</f>
        <v/>
      </c>
      <c r="N14" s="1" t="n"/>
      <c r="O14" s="1">
        <f>IF($K14="",0,IF(COUNTIF(Config!$F$5:$G$5,$K14)&gt;0,1,0))</f>
        <v/>
      </c>
      <c r="P14" s="1">
        <f>IF($E14="",0,IF(VATON=1,$E14*N($F14),0))</f>
        <v/>
      </c>
      <c r="Q14" s="1">
        <f>IF($O14=0,0,N($G14))</f>
        <v/>
      </c>
      <c r="R14" s="68">
        <f>IF($O14=0,"",MAX($J14,START))</f>
        <v/>
      </c>
      <c r="S14" s="1">
        <f>IF($O14=0,0,N($G14)*(1-IF($C14=SCN_CUSTOMER,LOSS_RATE,0)))</f>
        <v/>
      </c>
      <c r="T14" s="1" t="n"/>
    </row>
    <row r="15" ht="17" customHeight="1">
      <c r="A15" s="1" t="n"/>
      <c r="B15" s="60" t="n">
        <v>7</v>
      </c>
      <c r="C15" s="61" t="inlineStr">
        <is>
          <t>Praxis Dr. Winter</t>
        </is>
      </c>
      <c r="D15" s="61" t="inlineStr">
        <is>
          <t>RE-2607</t>
        </is>
      </c>
      <c r="E15" s="62" t="n">
        <v>980</v>
      </c>
      <c r="F15" s="63">
        <f>IF(VATON=1,0.19,"")</f>
        <v/>
      </c>
      <c r="G15" s="64">
        <f>IF($E15="","",$E15*(1+IF(VATON=1,N($F15),0)))</f>
        <v/>
      </c>
      <c r="H15" s="65">
        <f>TODAY()-9</f>
        <v/>
      </c>
      <c r="I15" s="66" t="n">
        <v>30</v>
      </c>
      <c r="J15" s="67">
        <f>IF($H15="","",$H15+N($I15))</f>
        <v/>
      </c>
      <c r="K15" s="66">
        <f>Config!$H$5</f>
        <v/>
      </c>
      <c r="L15" s="67">
        <f>IF($O15=0,"",MAX($J15,START)+DELAY_ALL+IF($C15=SCN_CUSTOMER,DELAY_CUSTOMER,0))</f>
        <v/>
      </c>
      <c r="M15" s="64">
        <f>IF($O15=0,"",$S15)</f>
        <v/>
      </c>
      <c r="N15" s="1" t="n"/>
      <c r="O15" s="1">
        <f>IF($K15="",0,IF(COUNTIF(Config!$F$5:$G$5,$K15)&gt;0,1,0))</f>
        <v/>
      </c>
      <c r="P15" s="1">
        <f>IF($E15="",0,IF(VATON=1,$E15*N($F15),0))</f>
        <v/>
      </c>
      <c r="Q15" s="1">
        <f>IF($O15=0,0,N($G15))</f>
        <v/>
      </c>
      <c r="R15" s="68">
        <f>IF($O15=0,"",MAX($J15,START))</f>
        <v/>
      </c>
      <c r="S15" s="1">
        <f>IF($O15=0,0,N($G15)*(1-IF($C15=SCN_CUSTOMER,LOSS_RATE,0)))</f>
        <v/>
      </c>
      <c r="T15" s="1" t="n"/>
    </row>
    <row r="16" ht="17" customHeight="1">
      <c r="A16" s="1" t="n"/>
      <c r="B16" s="69" t="n">
        <v>8</v>
      </c>
      <c r="C16" s="70" t="inlineStr">
        <is>
          <t>Grünfeld Landschaftsbau</t>
        </is>
      </c>
      <c r="D16" s="70" t="inlineStr">
        <is>
          <t>RE-2608</t>
        </is>
      </c>
      <c r="E16" s="71" t="n">
        <v>1150</v>
      </c>
      <c r="F16" s="72">
        <f>IF(VATON=1,0.19,"")</f>
        <v/>
      </c>
      <c r="G16" s="64">
        <f>IF($E16="","",$E16*(1+IF(VATON=1,N($F16),0)))</f>
        <v/>
      </c>
      <c r="H16" s="73">
        <f>TODAY()-6</f>
        <v/>
      </c>
      <c r="I16" s="74" t="n">
        <v>21</v>
      </c>
      <c r="J16" s="67">
        <f>IF($H16="","",$H16+N($I16))</f>
        <v/>
      </c>
      <c r="K16" s="74">
        <f>Config!$H$5</f>
        <v/>
      </c>
      <c r="L16" s="67">
        <f>IF($O16=0,"",MAX($J16,START)+DELAY_ALL+IF($C16=SCN_CUSTOMER,DELAY_CUSTOMER,0))</f>
        <v/>
      </c>
      <c r="M16" s="64">
        <f>IF($O16=0,"",$S16)</f>
        <v/>
      </c>
      <c r="N16" s="1" t="n"/>
      <c r="O16" s="1">
        <f>IF($K16="",0,IF(COUNTIF(Config!$F$5:$G$5,$K16)&gt;0,1,0))</f>
        <v/>
      </c>
      <c r="P16" s="1">
        <f>IF($E16="",0,IF(VATON=1,$E16*N($F16),0))</f>
        <v/>
      </c>
      <c r="Q16" s="1">
        <f>IF($O16=0,0,N($G16))</f>
        <v/>
      </c>
      <c r="R16" s="68">
        <f>IF($O16=0,"",MAX($J16,START))</f>
        <v/>
      </c>
      <c r="S16" s="1">
        <f>IF($O16=0,0,N($G16)*(1-IF($C16=SCN_CUSTOMER,LOSS_RATE,0)))</f>
        <v/>
      </c>
      <c r="T16" s="1" t="n"/>
    </row>
    <row r="17" ht="17" customHeight="1">
      <c r="A17" s="1" t="n"/>
      <c r="B17" s="60" t="n">
        <v>9</v>
      </c>
      <c r="C17" s="61" t="inlineStr">
        <is>
          <t>Meier &amp; Partner GmbH</t>
        </is>
      </c>
      <c r="D17" s="61" t="inlineStr">
        <is>
          <t>RE-2609</t>
        </is>
      </c>
      <c r="E17" s="62" t="n">
        <v>2600</v>
      </c>
      <c r="F17" s="63">
        <f>IF(VATON=1,0.19,"")</f>
        <v/>
      </c>
      <c r="G17" s="64">
        <f>IF($E17="","",$E17*(1+IF(VATON=1,N($F17),0)))</f>
        <v/>
      </c>
      <c r="H17" s="65">
        <f>TODAY()-3</f>
        <v/>
      </c>
      <c r="I17" s="66" t="n">
        <v>30</v>
      </c>
      <c r="J17" s="67">
        <f>IF($H17="","",$H17+N($I17))</f>
        <v/>
      </c>
      <c r="K17" s="66">
        <f>Config!$H$5</f>
        <v/>
      </c>
      <c r="L17" s="67">
        <f>IF($O17=0,"",MAX($J17,START)+DELAY_ALL+IF($C17=SCN_CUSTOMER,DELAY_CUSTOMER,0))</f>
        <v/>
      </c>
      <c r="M17" s="64">
        <f>IF($O17=0,"",$S17)</f>
        <v/>
      </c>
      <c r="N17" s="1" t="n"/>
      <c r="O17" s="1">
        <f>IF($K17="",0,IF(COUNTIF(Config!$F$5:$G$5,$K17)&gt;0,1,0))</f>
        <v/>
      </c>
      <c r="P17" s="1">
        <f>IF($E17="",0,IF(VATON=1,$E17*N($F17),0))</f>
        <v/>
      </c>
      <c r="Q17" s="1">
        <f>IF($O17=0,0,N($G17))</f>
        <v/>
      </c>
      <c r="R17" s="68">
        <f>IF($O17=0,"",MAX($J17,START))</f>
        <v/>
      </c>
      <c r="S17" s="1">
        <f>IF($O17=0,0,N($G17)*(1-IF($C17=SCN_CUSTOMER,LOSS_RATE,0)))</f>
        <v/>
      </c>
      <c r="T17" s="1" t="n"/>
    </row>
    <row r="18" ht="17" customHeight="1">
      <c r="A18" s="1" t="n"/>
      <c r="B18" s="69" t="n">
        <v>10</v>
      </c>
      <c r="C18" s="70" t="inlineStr">
        <is>
          <t>Café Sonnenblume</t>
        </is>
      </c>
      <c r="D18" s="70" t="inlineStr">
        <is>
          <t>RE-2610</t>
        </is>
      </c>
      <c r="E18" s="71" t="n">
        <v>520</v>
      </c>
      <c r="F18" s="72">
        <f>IF(VATON=1,0.19,"")</f>
        <v/>
      </c>
      <c r="G18" s="64">
        <f>IF($E18="","",$E18*(1+IF(VATON=1,N($F18),0)))</f>
        <v/>
      </c>
      <c r="H18" s="73">
        <f>TODAY()+1</f>
        <v/>
      </c>
      <c r="I18" s="74" t="n">
        <v>14</v>
      </c>
      <c r="J18" s="67">
        <f>IF($H18="","",$H18+N($I18))</f>
        <v/>
      </c>
      <c r="K18" s="74">
        <f>Config!$H$5</f>
        <v/>
      </c>
      <c r="L18" s="67">
        <f>IF($O18=0,"",MAX($J18,START)+DELAY_ALL+IF($C18=SCN_CUSTOMER,DELAY_CUSTOMER,0))</f>
        <v/>
      </c>
      <c r="M18" s="64">
        <f>IF($O18=0,"",$S18)</f>
        <v/>
      </c>
      <c r="N18" s="1" t="n"/>
      <c r="O18" s="1">
        <f>IF($K18="",0,IF(COUNTIF(Config!$F$5:$G$5,$K18)&gt;0,1,0))</f>
        <v/>
      </c>
      <c r="P18" s="1">
        <f>IF($E18="",0,IF(VATON=1,$E18*N($F18),0))</f>
        <v/>
      </c>
      <c r="Q18" s="1">
        <f>IF($O18=0,0,N($G18))</f>
        <v/>
      </c>
      <c r="R18" s="68">
        <f>IF($O18=0,"",MAX($J18,START))</f>
        <v/>
      </c>
      <c r="S18" s="1">
        <f>IF($O18=0,0,N($G18)*(1-IF($C18=SCN_CUSTOMER,LOSS_RATE,0)))</f>
        <v/>
      </c>
      <c r="T18" s="1" t="n"/>
    </row>
    <row r="19" ht="17" customHeight="1">
      <c r="A19" s="1" t="n"/>
      <c r="B19" s="60" t="n">
        <v>11</v>
      </c>
      <c r="C19" s="61" t="inlineStr">
        <is>
          <t>TechnoPlus AG</t>
        </is>
      </c>
      <c r="D19" s="61" t="inlineStr">
        <is>
          <t>RE-2611</t>
        </is>
      </c>
      <c r="E19" s="62" t="n">
        <v>5200</v>
      </c>
      <c r="F19" s="63">
        <f>IF(VATON=1,0.19,"")</f>
        <v/>
      </c>
      <c r="G19" s="64">
        <f>IF($E19="","",$E19*(1+IF(VATON=1,N($F19),0)))</f>
        <v/>
      </c>
      <c r="H19" s="65">
        <f>TODAY()+4</f>
        <v/>
      </c>
      <c r="I19" s="66" t="n">
        <v>45</v>
      </c>
      <c r="J19" s="67">
        <f>IF($H19="","",$H19+N($I19))</f>
        <v/>
      </c>
      <c r="K19" s="66">
        <f>Config!$H$5</f>
        <v/>
      </c>
      <c r="L19" s="67">
        <f>IF($O19=0,"",MAX($J19,START)+DELAY_ALL+IF($C19=SCN_CUSTOMER,DELAY_CUSTOMER,0))</f>
        <v/>
      </c>
      <c r="M19" s="64">
        <f>IF($O19=0,"",$S19)</f>
        <v/>
      </c>
      <c r="N19" s="1" t="n"/>
      <c r="O19" s="1">
        <f>IF($K19="",0,IF(COUNTIF(Config!$F$5:$G$5,$K19)&gt;0,1,0))</f>
        <v/>
      </c>
      <c r="P19" s="1">
        <f>IF($E19="",0,IF(VATON=1,$E19*N($F19),0))</f>
        <v/>
      </c>
      <c r="Q19" s="1">
        <f>IF($O19=0,0,N($G19))</f>
        <v/>
      </c>
      <c r="R19" s="68">
        <f>IF($O19=0,"",MAX($J19,START))</f>
        <v/>
      </c>
      <c r="S19" s="1">
        <f>IF($O19=0,0,N($G19)*(1-IF($C19=SCN_CUSTOMER,LOSS_RATE,0)))</f>
        <v/>
      </c>
      <c r="T19" s="1" t="n"/>
    </row>
    <row r="20" ht="17" customHeight="1">
      <c r="A20" s="1" t="n"/>
      <c r="B20" s="69" t="n">
        <v>12</v>
      </c>
      <c r="C20" s="70" t="inlineStr">
        <is>
          <t>Schmidt Immobilien</t>
        </is>
      </c>
      <c r="D20" s="70" t="inlineStr">
        <is>
          <t>RE-2612</t>
        </is>
      </c>
      <c r="E20" s="71" t="n">
        <v>3100</v>
      </c>
      <c r="F20" s="72">
        <f>IF(VATON=1,0.19,"")</f>
        <v/>
      </c>
      <c r="G20" s="64">
        <f>IF($E20="","",$E20*(1+IF(VATON=1,N($F20),0)))</f>
        <v/>
      </c>
      <c r="H20" s="73">
        <f>TODAY()+8</f>
        <v/>
      </c>
      <c r="I20" s="74" t="n">
        <v>30</v>
      </c>
      <c r="J20" s="67">
        <f>IF($H20="","",$H20+N($I20))</f>
        <v/>
      </c>
      <c r="K20" s="74">
        <f>Config!$H$5</f>
        <v/>
      </c>
      <c r="L20" s="67">
        <f>IF($O20=0,"",MAX($J20,START)+DELAY_ALL+IF($C20=SCN_CUSTOMER,DELAY_CUSTOMER,0))</f>
        <v/>
      </c>
      <c r="M20" s="64">
        <f>IF($O20=0,"",$S20)</f>
        <v/>
      </c>
      <c r="N20" s="1" t="n"/>
      <c r="O20" s="1">
        <f>IF($K20="",0,IF(COUNTIF(Config!$F$5:$G$5,$K20)&gt;0,1,0))</f>
        <v/>
      </c>
      <c r="P20" s="1">
        <f>IF($E20="",0,IF(VATON=1,$E20*N($F20),0))</f>
        <v/>
      </c>
      <c r="Q20" s="1">
        <f>IF($O20=0,0,N($G20))</f>
        <v/>
      </c>
      <c r="R20" s="68">
        <f>IF($O20=0,"",MAX($J20,START))</f>
        <v/>
      </c>
      <c r="S20" s="1">
        <f>IF($O20=0,0,N($G20)*(1-IF($C20=SCN_CUSTOMER,LOSS_RATE,0)))</f>
        <v/>
      </c>
      <c r="T20" s="1" t="n"/>
    </row>
    <row r="21" ht="17" customHeight="1">
      <c r="A21" s="1" t="n"/>
      <c r="B21" s="60" t="n">
        <v>13</v>
      </c>
      <c r="C21" s="61" t="inlineStr">
        <is>
          <t>Kreativagentur Nord</t>
        </is>
      </c>
      <c r="D21" s="61" t="inlineStr">
        <is>
          <t>RE-2598</t>
        </is>
      </c>
      <c r="E21" s="62" t="n">
        <v>1450</v>
      </c>
      <c r="F21" s="63">
        <f>IF(VATON=1,0.19,"")</f>
        <v/>
      </c>
      <c r="G21" s="64">
        <f>IF($E21="","",$E21*(1+IF(VATON=1,N($F21),0)))</f>
        <v/>
      </c>
      <c r="H21" s="65">
        <f>TODAY()-52</f>
        <v/>
      </c>
      <c r="I21" s="66" t="n">
        <v>30</v>
      </c>
      <c r="J21" s="67">
        <f>IF($H21="","",$H21+N($I21))</f>
        <v/>
      </c>
      <c r="K21" s="66">
        <f>Config!$H$6</f>
        <v/>
      </c>
      <c r="L21" s="67">
        <f>IF($O21=0,"",MAX($J21,START)+DELAY_ALL+IF($C21=SCN_CUSTOMER,DELAY_CUSTOMER,0))</f>
        <v/>
      </c>
      <c r="M21" s="64">
        <f>IF($O21=0,"",$S21)</f>
        <v/>
      </c>
      <c r="N21" s="1" t="n"/>
      <c r="O21" s="1">
        <f>IF($K21="",0,IF(COUNTIF(Config!$F$5:$G$5,$K21)&gt;0,1,0))</f>
        <v/>
      </c>
      <c r="P21" s="1">
        <f>IF($E21="",0,IF(VATON=1,$E21*N($F21),0))</f>
        <v/>
      </c>
      <c r="Q21" s="1">
        <f>IF($O21=0,0,N($G21))</f>
        <v/>
      </c>
      <c r="R21" s="68">
        <f>IF($O21=0,"",MAX($J21,START))</f>
        <v/>
      </c>
      <c r="S21" s="1">
        <f>IF($O21=0,0,N($G21)*(1-IF($C21=SCN_CUSTOMER,LOSS_RATE,0)))</f>
        <v/>
      </c>
      <c r="T21" s="1" t="n"/>
    </row>
    <row r="22" ht="17" customHeight="1">
      <c r="A22" s="1" t="n"/>
      <c r="B22" s="69" t="n">
        <v>14</v>
      </c>
      <c r="C22" s="70" t="inlineStr">
        <is>
          <t>Hotel Seeblick</t>
        </is>
      </c>
      <c r="D22" s="70" t="inlineStr">
        <is>
          <t>RE-2596</t>
        </is>
      </c>
      <c r="E22" s="71" t="n">
        <v>780</v>
      </c>
      <c r="F22" s="72">
        <f>IF(VATON=1,0.19,"")</f>
        <v/>
      </c>
      <c r="G22" s="64">
        <f>IF($E22="","",$E22*(1+IF(VATON=1,N($F22),0)))</f>
        <v/>
      </c>
      <c r="H22" s="73">
        <f>TODAY()-58</f>
        <v/>
      </c>
      <c r="I22" s="74" t="n">
        <v>14</v>
      </c>
      <c r="J22" s="67">
        <f>IF($H22="","",$H22+N($I22))</f>
        <v/>
      </c>
      <c r="K22" s="74">
        <f>Config!$H$6</f>
        <v/>
      </c>
      <c r="L22" s="67">
        <f>IF($O22=0,"",MAX($J22,START)+DELAY_ALL+IF($C22=SCN_CUSTOMER,DELAY_CUSTOMER,0))</f>
        <v/>
      </c>
      <c r="M22" s="64">
        <f>IF($O22=0,"",$S22)</f>
        <v/>
      </c>
      <c r="N22" s="1" t="n"/>
      <c r="O22" s="1">
        <f>IF($K22="",0,IF(COUNTIF(Config!$F$5:$G$5,$K22)&gt;0,1,0))</f>
        <v/>
      </c>
      <c r="P22" s="1">
        <f>IF($E22="",0,IF(VATON=1,$E22*N($F22),0))</f>
        <v/>
      </c>
      <c r="Q22" s="1">
        <f>IF($O22=0,0,N($G22))</f>
        <v/>
      </c>
      <c r="R22" s="68">
        <f>IF($O22=0,"",MAX($J22,START))</f>
        <v/>
      </c>
      <c r="S22" s="1">
        <f>IF($O22=0,0,N($G22)*(1-IF($C22=SCN_CUSTOMER,LOSS_RATE,0)))</f>
        <v/>
      </c>
      <c r="T22" s="1" t="n"/>
    </row>
    <row r="23" ht="17" customHeight="1">
      <c r="A23" s="1" t="n"/>
      <c r="B23" s="60" t="n">
        <v>15</v>
      </c>
      <c r="C23" s="61" t="inlineStr">
        <is>
          <t>Bauer Consulting KG</t>
        </is>
      </c>
      <c r="D23" s="61" t="inlineStr">
        <is>
          <t>RE-2594</t>
        </is>
      </c>
      <c r="E23" s="62" t="n">
        <v>3200</v>
      </c>
      <c r="F23" s="63">
        <f>IF(VATON=1,0.19,"")</f>
        <v/>
      </c>
      <c r="G23" s="64">
        <f>IF($E23="","",$E23*(1+IF(VATON=1,N($F23),0)))</f>
        <v/>
      </c>
      <c r="H23" s="65">
        <f>TODAY()-66</f>
        <v/>
      </c>
      <c r="I23" s="66" t="n">
        <v>30</v>
      </c>
      <c r="J23" s="67">
        <f>IF($H23="","",$H23+N($I23))</f>
        <v/>
      </c>
      <c r="K23" s="66">
        <f>Config!$H$6</f>
        <v/>
      </c>
      <c r="L23" s="67">
        <f>IF($O23=0,"",MAX($J23,START)+DELAY_ALL+IF($C23=SCN_CUSTOMER,DELAY_CUSTOMER,0))</f>
        <v/>
      </c>
      <c r="M23" s="64">
        <f>IF($O23=0,"",$S23)</f>
        <v/>
      </c>
      <c r="N23" s="1" t="n"/>
      <c r="O23" s="1">
        <f>IF($K23="",0,IF(COUNTIF(Config!$F$5:$G$5,$K23)&gt;0,1,0))</f>
        <v/>
      </c>
      <c r="P23" s="1">
        <f>IF($E23="",0,IF(VATON=1,$E23*N($F23),0))</f>
        <v/>
      </c>
      <c r="Q23" s="1">
        <f>IF($O23=0,0,N($G23))</f>
        <v/>
      </c>
      <c r="R23" s="68">
        <f>IF($O23=0,"",MAX($J23,START))</f>
        <v/>
      </c>
      <c r="S23" s="1">
        <f>IF($O23=0,0,N($G23)*(1-IF($C23=SCN_CUSTOMER,LOSS_RATE,0)))</f>
        <v/>
      </c>
      <c r="T23" s="1" t="n"/>
    </row>
    <row r="24" ht="17" customHeight="1">
      <c r="A24" s="1" t="n"/>
      <c r="B24" s="69" t="n">
        <v>16</v>
      </c>
      <c r="C24" s="70" t="n"/>
      <c r="D24" s="70" t="n"/>
      <c r="E24" s="71" t="n"/>
      <c r="F24" s="72" t="n"/>
      <c r="G24" s="64">
        <f>IF($E24="","",$E24*(1+IF(VATON=1,N($F24),0)))</f>
        <v/>
      </c>
      <c r="H24" s="73" t="n"/>
      <c r="I24" s="74" t="n"/>
      <c r="J24" s="67">
        <f>IF($H24="","",$H24+N($I24))</f>
        <v/>
      </c>
      <c r="K24" s="74" t="n"/>
      <c r="L24" s="67">
        <f>IF($O24=0,"",MAX($J24,START)+DELAY_ALL+IF($C24=SCN_CUSTOMER,DELAY_CUSTOMER,0))</f>
        <v/>
      </c>
      <c r="M24" s="64">
        <f>IF($O24=0,"",$S24)</f>
        <v/>
      </c>
      <c r="N24" s="1" t="n"/>
      <c r="O24" s="1">
        <f>IF($K24="",0,IF(COUNTIF(Config!$F$5:$G$5,$K24)&gt;0,1,0))</f>
        <v/>
      </c>
      <c r="P24" s="1">
        <f>IF($E24="",0,IF(VATON=1,$E24*N($F24),0))</f>
        <v/>
      </c>
      <c r="Q24" s="1">
        <f>IF($O24=0,0,N($G24))</f>
        <v/>
      </c>
      <c r="R24" s="68">
        <f>IF($O24=0,"",MAX($J24,START))</f>
        <v/>
      </c>
      <c r="S24" s="1">
        <f>IF($O24=0,0,N($G24)*(1-IF($C24=SCN_CUSTOMER,LOSS_RATE,0)))</f>
        <v/>
      </c>
      <c r="T24" s="1" t="n"/>
    </row>
    <row r="25" ht="17" customHeight="1">
      <c r="A25" s="1" t="n"/>
      <c r="B25" s="60" t="n">
        <v>17</v>
      </c>
      <c r="C25" s="61" t="n"/>
      <c r="D25" s="61" t="n"/>
      <c r="E25" s="62" t="n"/>
      <c r="F25" s="63" t="n"/>
      <c r="G25" s="64">
        <f>IF($E25="","",$E25*(1+IF(VATON=1,N($F25),0)))</f>
        <v/>
      </c>
      <c r="H25" s="65" t="n"/>
      <c r="I25" s="66" t="n"/>
      <c r="J25" s="67">
        <f>IF($H25="","",$H25+N($I25))</f>
        <v/>
      </c>
      <c r="K25" s="66" t="n"/>
      <c r="L25" s="67">
        <f>IF($O25=0,"",MAX($J25,START)+DELAY_ALL+IF($C25=SCN_CUSTOMER,DELAY_CUSTOMER,0))</f>
        <v/>
      </c>
      <c r="M25" s="64">
        <f>IF($O25=0,"",$S25)</f>
        <v/>
      </c>
      <c r="N25" s="1" t="n"/>
      <c r="O25" s="1">
        <f>IF($K25="",0,IF(COUNTIF(Config!$F$5:$G$5,$K25)&gt;0,1,0))</f>
        <v/>
      </c>
      <c r="P25" s="1">
        <f>IF($E25="",0,IF(VATON=1,$E25*N($F25),0))</f>
        <v/>
      </c>
      <c r="Q25" s="1">
        <f>IF($O25=0,0,N($G25))</f>
        <v/>
      </c>
      <c r="R25" s="68">
        <f>IF($O25=0,"",MAX($J25,START))</f>
        <v/>
      </c>
      <c r="S25" s="1">
        <f>IF($O25=0,0,N($G25)*(1-IF($C25=SCN_CUSTOMER,LOSS_RATE,0)))</f>
        <v/>
      </c>
      <c r="T25" s="1" t="n"/>
    </row>
    <row r="26" ht="17" customHeight="1">
      <c r="A26" s="1" t="n"/>
      <c r="B26" s="69" t="n">
        <v>18</v>
      </c>
      <c r="C26" s="70" t="n"/>
      <c r="D26" s="70" t="n"/>
      <c r="E26" s="71" t="n"/>
      <c r="F26" s="72" t="n"/>
      <c r="G26" s="64">
        <f>IF($E26="","",$E26*(1+IF(VATON=1,N($F26),0)))</f>
        <v/>
      </c>
      <c r="H26" s="73" t="n"/>
      <c r="I26" s="74" t="n"/>
      <c r="J26" s="67">
        <f>IF($H26="","",$H26+N($I26))</f>
        <v/>
      </c>
      <c r="K26" s="74" t="n"/>
      <c r="L26" s="67">
        <f>IF($O26=0,"",MAX($J26,START)+DELAY_ALL+IF($C26=SCN_CUSTOMER,DELAY_CUSTOMER,0))</f>
        <v/>
      </c>
      <c r="M26" s="64">
        <f>IF($O26=0,"",$S26)</f>
        <v/>
      </c>
      <c r="N26" s="1" t="n"/>
      <c r="O26" s="1">
        <f>IF($K26="",0,IF(COUNTIF(Config!$F$5:$G$5,$K26)&gt;0,1,0))</f>
        <v/>
      </c>
      <c r="P26" s="1">
        <f>IF($E26="",0,IF(VATON=1,$E26*N($F26),0))</f>
        <v/>
      </c>
      <c r="Q26" s="1">
        <f>IF($O26=0,0,N($G26))</f>
        <v/>
      </c>
      <c r="R26" s="68">
        <f>IF($O26=0,"",MAX($J26,START))</f>
        <v/>
      </c>
      <c r="S26" s="1">
        <f>IF($O26=0,0,N($G26)*(1-IF($C26=SCN_CUSTOMER,LOSS_RATE,0)))</f>
        <v/>
      </c>
      <c r="T26" s="1" t="n"/>
    </row>
    <row r="27" ht="17" customHeight="1">
      <c r="A27" s="1" t="n"/>
      <c r="B27" s="60" t="n">
        <v>19</v>
      </c>
      <c r="C27" s="61" t="n"/>
      <c r="D27" s="61" t="n"/>
      <c r="E27" s="62" t="n"/>
      <c r="F27" s="63" t="n"/>
      <c r="G27" s="64">
        <f>IF($E27="","",$E27*(1+IF(VATON=1,N($F27),0)))</f>
        <v/>
      </c>
      <c r="H27" s="65" t="n"/>
      <c r="I27" s="66" t="n"/>
      <c r="J27" s="67">
        <f>IF($H27="","",$H27+N($I27))</f>
        <v/>
      </c>
      <c r="K27" s="66" t="n"/>
      <c r="L27" s="67">
        <f>IF($O27=0,"",MAX($J27,START)+DELAY_ALL+IF($C27=SCN_CUSTOMER,DELAY_CUSTOMER,0))</f>
        <v/>
      </c>
      <c r="M27" s="64">
        <f>IF($O27=0,"",$S27)</f>
        <v/>
      </c>
      <c r="N27" s="1" t="n"/>
      <c r="O27" s="1">
        <f>IF($K27="",0,IF(COUNTIF(Config!$F$5:$G$5,$K27)&gt;0,1,0))</f>
        <v/>
      </c>
      <c r="P27" s="1">
        <f>IF($E27="",0,IF(VATON=1,$E27*N($F27),0))</f>
        <v/>
      </c>
      <c r="Q27" s="1">
        <f>IF($O27=0,0,N($G27))</f>
        <v/>
      </c>
      <c r="R27" s="68">
        <f>IF($O27=0,"",MAX($J27,START))</f>
        <v/>
      </c>
      <c r="S27" s="1">
        <f>IF($O27=0,0,N($G27)*(1-IF($C27=SCN_CUSTOMER,LOSS_RATE,0)))</f>
        <v/>
      </c>
      <c r="T27" s="1" t="n"/>
    </row>
    <row r="28" ht="17" customHeight="1">
      <c r="A28" s="1" t="n"/>
      <c r="B28" s="69" t="n">
        <v>20</v>
      </c>
      <c r="C28" s="70" t="n"/>
      <c r="D28" s="70" t="n"/>
      <c r="E28" s="71" t="n"/>
      <c r="F28" s="72" t="n"/>
      <c r="G28" s="64">
        <f>IF($E28="","",$E28*(1+IF(VATON=1,N($F28),0)))</f>
        <v/>
      </c>
      <c r="H28" s="73" t="n"/>
      <c r="I28" s="74" t="n"/>
      <c r="J28" s="67">
        <f>IF($H28="","",$H28+N($I28))</f>
        <v/>
      </c>
      <c r="K28" s="74" t="n"/>
      <c r="L28" s="67">
        <f>IF($O28=0,"",MAX($J28,START)+DELAY_ALL+IF($C28=SCN_CUSTOMER,DELAY_CUSTOMER,0))</f>
        <v/>
      </c>
      <c r="M28" s="64">
        <f>IF($O28=0,"",$S28)</f>
        <v/>
      </c>
      <c r="N28" s="1" t="n"/>
      <c r="O28" s="1">
        <f>IF($K28="",0,IF(COUNTIF(Config!$F$5:$G$5,$K28)&gt;0,1,0))</f>
        <v/>
      </c>
      <c r="P28" s="1">
        <f>IF($E28="",0,IF(VATON=1,$E28*N($F28),0))</f>
        <v/>
      </c>
      <c r="Q28" s="1">
        <f>IF($O28=0,0,N($G28))</f>
        <v/>
      </c>
      <c r="R28" s="68">
        <f>IF($O28=0,"",MAX($J28,START))</f>
        <v/>
      </c>
      <c r="S28" s="1">
        <f>IF($O28=0,0,N($G28)*(1-IF($C28=SCN_CUSTOMER,LOSS_RATE,0)))</f>
        <v/>
      </c>
      <c r="T28" s="1" t="n"/>
    </row>
    <row r="29" ht="17" customHeight="1">
      <c r="A29" s="1" t="n"/>
      <c r="B29" s="60" t="n">
        <v>21</v>
      </c>
      <c r="C29" s="61" t="n"/>
      <c r="D29" s="61" t="n"/>
      <c r="E29" s="62" t="n"/>
      <c r="F29" s="63" t="n"/>
      <c r="G29" s="64">
        <f>IF($E29="","",$E29*(1+IF(VATON=1,N($F29),0)))</f>
        <v/>
      </c>
      <c r="H29" s="65" t="n"/>
      <c r="I29" s="66" t="n"/>
      <c r="J29" s="67">
        <f>IF($H29="","",$H29+N($I29))</f>
        <v/>
      </c>
      <c r="K29" s="66" t="n"/>
      <c r="L29" s="67">
        <f>IF($O29=0,"",MAX($J29,START)+DELAY_ALL+IF($C29=SCN_CUSTOMER,DELAY_CUSTOMER,0))</f>
        <v/>
      </c>
      <c r="M29" s="64">
        <f>IF($O29=0,"",$S29)</f>
        <v/>
      </c>
      <c r="N29" s="1" t="n"/>
      <c r="O29" s="1">
        <f>IF($K29="",0,IF(COUNTIF(Config!$F$5:$G$5,$K29)&gt;0,1,0))</f>
        <v/>
      </c>
      <c r="P29" s="1">
        <f>IF($E29="",0,IF(VATON=1,$E29*N($F29),0))</f>
        <v/>
      </c>
      <c r="Q29" s="1">
        <f>IF($O29=0,0,N($G29))</f>
        <v/>
      </c>
      <c r="R29" s="68">
        <f>IF($O29=0,"",MAX($J29,START))</f>
        <v/>
      </c>
      <c r="S29" s="1">
        <f>IF($O29=0,0,N($G29)*(1-IF($C29=SCN_CUSTOMER,LOSS_RATE,0)))</f>
        <v/>
      </c>
      <c r="T29" s="1" t="n"/>
    </row>
    <row r="30" ht="17" customHeight="1">
      <c r="A30" s="1" t="n"/>
      <c r="B30" s="69" t="n">
        <v>22</v>
      </c>
      <c r="C30" s="70" t="n"/>
      <c r="D30" s="70" t="n"/>
      <c r="E30" s="71" t="n"/>
      <c r="F30" s="72" t="n"/>
      <c r="G30" s="64">
        <f>IF($E30="","",$E30*(1+IF(VATON=1,N($F30),0)))</f>
        <v/>
      </c>
      <c r="H30" s="73" t="n"/>
      <c r="I30" s="74" t="n"/>
      <c r="J30" s="67">
        <f>IF($H30="","",$H30+N($I30))</f>
        <v/>
      </c>
      <c r="K30" s="74" t="n"/>
      <c r="L30" s="67">
        <f>IF($O30=0,"",MAX($J30,START)+DELAY_ALL+IF($C30=SCN_CUSTOMER,DELAY_CUSTOMER,0))</f>
        <v/>
      </c>
      <c r="M30" s="64">
        <f>IF($O30=0,"",$S30)</f>
        <v/>
      </c>
      <c r="N30" s="1" t="n"/>
      <c r="O30" s="1">
        <f>IF($K30="",0,IF(COUNTIF(Config!$F$5:$G$5,$K30)&gt;0,1,0))</f>
        <v/>
      </c>
      <c r="P30" s="1">
        <f>IF($E30="",0,IF(VATON=1,$E30*N($F30),0))</f>
        <v/>
      </c>
      <c r="Q30" s="1">
        <f>IF($O30=0,0,N($G30))</f>
        <v/>
      </c>
      <c r="R30" s="68">
        <f>IF($O30=0,"",MAX($J30,START))</f>
        <v/>
      </c>
      <c r="S30" s="1">
        <f>IF($O30=0,0,N($G30)*(1-IF($C30=SCN_CUSTOMER,LOSS_RATE,0)))</f>
        <v/>
      </c>
      <c r="T30" s="1" t="n"/>
    </row>
    <row r="31" ht="17" customHeight="1">
      <c r="A31" s="1" t="n"/>
      <c r="B31" s="60" t="n">
        <v>23</v>
      </c>
      <c r="C31" s="61" t="n"/>
      <c r="D31" s="61" t="n"/>
      <c r="E31" s="62" t="n"/>
      <c r="F31" s="63" t="n"/>
      <c r="G31" s="64">
        <f>IF($E31="","",$E31*(1+IF(VATON=1,N($F31),0)))</f>
        <v/>
      </c>
      <c r="H31" s="65" t="n"/>
      <c r="I31" s="66" t="n"/>
      <c r="J31" s="67">
        <f>IF($H31="","",$H31+N($I31))</f>
        <v/>
      </c>
      <c r="K31" s="66" t="n"/>
      <c r="L31" s="67">
        <f>IF($O31=0,"",MAX($J31,START)+DELAY_ALL+IF($C31=SCN_CUSTOMER,DELAY_CUSTOMER,0))</f>
        <v/>
      </c>
      <c r="M31" s="64">
        <f>IF($O31=0,"",$S31)</f>
        <v/>
      </c>
      <c r="N31" s="1" t="n"/>
      <c r="O31" s="1">
        <f>IF($K31="",0,IF(COUNTIF(Config!$F$5:$G$5,$K31)&gt;0,1,0))</f>
        <v/>
      </c>
      <c r="P31" s="1">
        <f>IF($E31="",0,IF(VATON=1,$E31*N($F31),0))</f>
        <v/>
      </c>
      <c r="Q31" s="1">
        <f>IF($O31=0,0,N($G31))</f>
        <v/>
      </c>
      <c r="R31" s="68">
        <f>IF($O31=0,"",MAX($J31,START))</f>
        <v/>
      </c>
      <c r="S31" s="1">
        <f>IF($O31=0,0,N($G31)*(1-IF($C31=SCN_CUSTOMER,LOSS_RATE,0)))</f>
        <v/>
      </c>
      <c r="T31" s="1" t="n"/>
    </row>
    <row r="32" ht="17" customHeight="1">
      <c r="A32" s="1" t="n"/>
      <c r="B32" s="69" t="n">
        <v>24</v>
      </c>
      <c r="C32" s="70" t="n"/>
      <c r="D32" s="70" t="n"/>
      <c r="E32" s="71" t="n"/>
      <c r="F32" s="72" t="n"/>
      <c r="G32" s="64">
        <f>IF($E32="","",$E32*(1+IF(VATON=1,N($F32),0)))</f>
        <v/>
      </c>
      <c r="H32" s="73" t="n"/>
      <c r="I32" s="74" t="n"/>
      <c r="J32" s="67">
        <f>IF($H32="","",$H32+N($I32))</f>
        <v/>
      </c>
      <c r="K32" s="74" t="n"/>
      <c r="L32" s="67">
        <f>IF($O32=0,"",MAX($J32,START)+DELAY_ALL+IF($C32=SCN_CUSTOMER,DELAY_CUSTOMER,0))</f>
        <v/>
      </c>
      <c r="M32" s="64">
        <f>IF($O32=0,"",$S32)</f>
        <v/>
      </c>
      <c r="N32" s="1" t="n"/>
      <c r="O32" s="1">
        <f>IF($K32="",0,IF(COUNTIF(Config!$F$5:$G$5,$K32)&gt;0,1,0))</f>
        <v/>
      </c>
      <c r="P32" s="1">
        <f>IF($E32="",0,IF(VATON=1,$E32*N($F32),0))</f>
        <v/>
      </c>
      <c r="Q32" s="1">
        <f>IF($O32=0,0,N($G32))</f>
        <v/>
      </c>
      <c r="R32" s="68">
        <f>IF($O32=0,"",MAX($J32,START))</f>
        <v/>
      </c>
      <c r="S32" s="1">
        <f>IF($O32=0,0,N($G32)*(1-IF($C32=SCN_CUSTOMER,LOSS_RATE,0)))</f>
        <v/>
      </c>
      <c r="T32" s="1" t="n"/>
    </row>
    <row r="33" ht="17" customHeight="1">
      <c r="A33" s="1" t="n"/>
      <c r="B33" s="60" t="n">
        <v>25</v>
      </c>
      <c r="C33" s="61" t="n"/>
      <c r="D33" s="61" t="n"/>
      <c r="E33" s="62" t="n"/>
      <c r="F33" s="63" t="n"/>
      <c r="G33" s="64">
        <f>IF($E33="","",$E33*(1+IF(VATON=1,N($F33),0)))</f>
        <v/>
      </c>
      <c r="H33" s="65" t="n"/>
      <c r="I33" s="66" t="n"/>
      <c r="J33" s="67">
        <f>IF($H33="","",$H33+N($I33))</f>
        <v/>
      </c>
      <c r="K33" s="66" t="n"/>
      <c r="L33" s="67">
        <f>IF($O33=0,"",MAX($J33,START)+DELAY_ALL+IF($C33=SCN_CUSTOMER,DELAY_CUSTOMER,0))</f>
        <v/>
      </c>
      <c r="M33" s="64">
        <f>IF($O33=0,"",$S33)</f>
        <v/>
      </c>
      <c r="N33" s="1" t="n"/>
      <c r="O33" s="1">
        <f>IF($K33="",0,IF(COUNTIF(Config!$F$5:$G$5,$K33)&gt;0,1,0))</f>
        <v/>
      </c>
      <c r="P33" s="1">
        <f>IF($E33="",0,IF(VATON=1,$E33*N($F33),0))</f>
        <v/>
      </c>
      <c r="Q33" s="1">
        <f>IF($O33=0,0,N($G33))</f>
        <v/>
      </c>
      <c r="R33" s="68">
        <f>IF($O33=0,"",MAX($J33,START))</f>
        <v/>
      </c>
      <c r="S33" s="1">
        <f>IF($O33=0,0,N($G33)*(1-IF($C33=SCN_CUSTOMER,LOSS_RATE,0)))</f>
        <v/>
      </c>
      <c r="T33" s="1" t="n"/>
    </row>
    <row r="34" ht="17" customHeight="1">
      <c r="A34" s="1" t="n"/>
      <c r="B34" s="69" t="n">
        <v>26</v>
      </c>
      <c r="C34" s="70" t="n"/>
      <c r="D34" s="70" t="n"/>
      <c r="E34" s="71" t="n"/>
      <c r="F34" s="72" t="n"/>
      <c r="G34" s="64">
        <f>IF($E34="","",$E34*(1+IF(VATON=1,N($F34),0)))</f>
        <v/>
      </c>
      <c r="H34" s="73" t="n"/>
      <c r="I34" s="74" t="n"/>
      <c r="J34" s="67">
        <f>IF($H34="","",$H34+N($I34))</f>
        <v/>
      </c>
      <c r="K34" s="74" t="n"/>
      <c r="L34" s="67">
        <f>IF($O34=0,"",MAX($J34,START)+DELAY_ALL+IF($C34=SCN_CUSTOMER,DELAY_CUSTOMER,0))</f>
        <v/>
      </c>
      <c r="M34" s="64">
        <f>IF($O34=0,"",$S34)</f>
        <v/>
      </c>
      <c r="N34" s="1" t="n"/>
      <c r="O34" s="1">
        <f>IF($K34="",0,IF(COUNTIF(Config!$F$5:$G$5,$K34)&gt;0,1,0))</f>
        <v/>
      </c>
      <c r="P34" s="1">
        <f>IF($E34="",0,IF(VATON=1,$E34*N($F34),0))</f>
        <v/>
      </c>
      <c r="Q34" s="1">
        <f>IF($O34=0,0,N($G34))</f>
        <v/>
      </c>
      <c r="R34" s="68">
        <f>IF($O34=0,"",MAX($J34,START))</f>
        <v/>
      </c>
      <c r="S34" s="1">
        <f>IF($O34=0,0,N($G34)*(1-IF($C34=SCN_CUSTOMER,LOSS_RATE,0)))</f>
        <v/>
      </c>
      <c r="T34" s="1" t="n"/>
    </row>
    <row r="35" ht="17" customHeight="1">
      <c r="A35" s="1" t="n"/>
      <c r="B35" s="60" t="n">
        <v>27</v>
      </c>
      <c r="C35" s="61" t="n"/>
      <c r="D35" s="61" t="n"/>
      <c r="E35" s="62" t="n"/>
      <c r="F35" s="63" t="n"/>
      <c r="G35" s="64">
        <f>IF($E35="","",$E35*(1+IF(VATON=1,N($F35),0)))</f>
        <v/>
      </c>
      <c r="H35" s="65" t="n"/>
      <c r="I35" s="66" t="n"/>
      <c r="J35" s="67">
        <f>IF($H35="","",$H35+N($I35))</f>
        <v/>
      </c>
      <c r="K35" s="66" t="n"/>
      <c r="L35" s="67">
        <f>IF($O35=0,"",MAX($J35,START)+DELAY_ALL+IF($C35=SCN_CUSTOMER,DELAY_CUSTOMER,0))</f>
        <v/>
      </c>
      <c r="M35" s="64">
        <f>IF($O35=0,"",$S35)</f>
        <v/>
      </c>
      <c r="N35" s="1" t="n"/>
      <c r="O35" s="1">
        <f>IF($K35="",0,IF(COUNTIF(Config!$F$5:$G$5,$K35)&gt;0,1,0))</f>
        <v/>
      </c>
      <c r="P35" s="1">
        <f>IF($E35="",0,IF(VATON=1,$E35*N($F35),0))</f>
        <v/>
      </c>
      <c r="Q35" s="1">
        <f>IF($O35=0,0,N($G35))</f>
        <v/>
      </c>
      <c r="R35" s="68">
        <f>IF($O35=0,"",MAX($J35,START))</f>
        <v/>
      </c>
      <c r="S35" s="1">
        <f>IF($O35=0,0,N($G35)*(1-IF($C35=SCN_CUSTOMER,LOSS_RATE,0)))</f>
        <v/>
      </c>
      <c r="T35" s="1" t="n"/>
    </row>
    <row r="36" ht="17" customHeight="1">
      <c r="A36" s="1" t="n"/>
      <c r="B36" s="69" t="n">
        <v>28</v>
      </c>
      <c r="C36" s="70" t="n"/>
      <c r="D36" s="70" t="n"/>
      <c r="E36" s="71" t="n"/>
      <c r="F36" s="72" t="n"/>
      <c r="G36" s="64">
        <f>IF($E36="","",$E36*(1+IF(VATON=1,N($F36),0)))</f>
        <v/>
      </c>
      <c r="H36" s="73" t="n"/>
      <c r="I36" s="74" t="n"/>
      <c r="J36" s="67">
        <f>IF($H36="","",$H36+N($I36))</f>
        <v/>
      </c>
      <c r="K36" s="74" t="n"/>
      <c r="L36" s="67">
        <f>IF($O36=0,"",MAX($J36,START)+DELAY_ALL+IF($C36=SCN_CUSTOMER,DELAY_CUSTOMER,0))</f>
        <v/>
      </c>
      <c r="M36" s="64">
        <f>IF($O36=0,"",$S36)</f>
        <v/>
      </c>
      <c r="N36" s="1" t="n"/>
      <c r="O36" s="1">
        <f>IF($K36="",0,IF(COUNTIF(Config!$F$5:$G$5,$K36)&gt;0,1,0))</f>
        <v/>
      </c>
      <c r="P36" s="1">
        <f>IF($E36="",0,IF(VATON=1,$E36*N($F36),0))</f>
        <v/>
      </c>
      <c r="Q36" s="1">
        <f>IF($O36=0,0,N($G36))</f>
        <v/>
      </c>
      <c r="R36" s="68">
        <f>IF($O36=0,"",MAX($J36,START))</f>
        <v/>
      </c>
      <c r="S36" s="1">
        <f>IF($O36=0,0,N($G36)*(1-IF($C36=SCN_CUSTOMER,LOSS_RATE,0)))</f>
        <v/>
      </c>
      <c r="T36" s="1" t="n"/>
    </row>
    <row r="37" ht="17" customHeight="1">
      <c r="A37" s="1" t="n"/>
      <c r="B37" s="60" t="n">
        <v>29</v>
      </c>
      <c r="C37" s="61" t="n"/>
      <c r="D37" s="61" t="n"/>
      <c r="E37" s="62" t="n"/>
      <c r="F37" s="63" t="n"/>
      <c r="G37" s="64">
        <f>IF($E37="","",$E37*(1+IF(VATON=1,N($F37),0)))</f>
        <v/>
      </c>
      <c r="H37" s="65" t="n"/>
      <c r="I37" s="66" t="n"/>
      <c r="J37" s="67">
        <f>IF($H37="","",$H37+N($I37))</f>
        <v/>
      </c>
      <c r="K37" s="66" t="n"/>
      <c r="L37" s="67">
        <f>IF($O37=0,"",MAX($J37,START)+DELAY_ALL+IF($C37=SCN_CUSTOMER,DELAY_CUSTOMER,0))</f>
        <v/>
      </c>
      <c r="M37" s="64">
        <f>IF($O37=0,"",$S37)</f>
        <v/>
      </c>
      <c r="N37" s="1" t="n"/>
      <c r="O37" s="1">
        <f>IF($K37="",0,IF(COUNTIF(Config!$F$5:$G$5,$K37)&gt;0,1,0))</f>
        <v/>
      </c>
      <c r="P37" s="1">
        <f>IF($E37="",0,IF(VATON=1,$E37*N($F37),0))</f>
        <v/>
      </c>
      <c r="Q37" s="1">
        <f>IF($O37=0,0,N($G37))</f>
        <v/>
      </c>
      <c r="R37" s="68">
        <f>IF($O37=0,"",MAX($J37,START))</f>
        <v/>
      </c>
      <c r="S37" s="1">
        <f>IF($O37=0,0,N($G37)*(1-IF($C37=SCN_CUSTOMER,LOSS_RATE,0)))</f>
        <v/>
      </c>
      <c r="T37" s="1" t="n"/>
    </row>
    <row r="38" ht="17" customHeight="1">
      <c r="A38" s="1" t="n"/>
      <c r="B38" s="69" t="n">
        <v>30</v>
      </c>
      <c r="C38" s="70" t="n"/>
      <c r="D38" s="70" t="n"/>
      <c r="E38" s="71" t="n"/>
      <c r="F38" s="72" t="n"/>
      <c r="G38" s="64">
        <f>IF($E38="","",$E38*(1+IF(VATON=1,N($F38),0)))</f>
        <v/>
      </c>
      <c r="H38" s="73" t="n"/>
      <c r="I38" s="74" t="n"/>
      <c r="J38" s="67">
        <f>IF($H38="","",$H38+N($I38))</f>
        <v/>
      </c>
      <c r="K38" s="74" t="n"/>
      <c r="L38" s="67">
        <f>IF($O38=0,"",MAX($J38,START)+DELAY_ALL+IF($C38=SCN_CUSTOMER,DELAY_CUSTOMER,0))</f>
        <v/>
      </c>
      <c r="M38" s="64">
        <f>IF($O38=0,"",$S38)</f>
        <v/>
      </c>
      <c r="N38" s="1" t="n"/>
      <c r="O38" s="1">
        <f>IF($K38="",0,IF(COUNTIF(Config!$F$5:$G$5,$K38)&gt;0,1,0))</f>
        <v/>
      </c>
      <c r="P38" s="1">
        <f>IF($E38="",0,IF(VATON=1,$E38*N($F38),0))</f>
        <v/>
      </c>
      <c r="Q38" s="1">
        <f>IF($O38=0,0,N($G38))</f>
        <v/>
      </c>
      <c r="R38" s="68">
        <f>IF($O38=0,"",MAX($J38,START))</f>
        <v/>
      </c>
      <c r="S38" s="1">
        <f>IF($O38=0,0,N($G38)*(1-IF($C38=SCN_CUSTOMER,LOSS_RATE,0)))</f>
        <v/>
      </c>
      <c r="T38" s="1" t="n"/>
    </row>
    <row r="39" ht="17" customHeight="1">
      <c r="A39" s="1" t="n"/>
      <c r="B39" s="60" t="n">
        <v>31</v>
      </c>
      <c r="C39" s="61" t="n"/>
      <c r="D39" s="61" t="n"/>
      <c r="E39" s="62" t="n"/>
      <c r="F39" s="63" t="n"/>
      <c r="G39" s="64">
        <f>IF($E39="","",$E39*(1+IF(VATON=1,N($F39),0)))</f>
        <v/>
      </c>
      <c r="H39" s="65" t="n"/>
      <c r="I39" s="66" t="n"/>
      <c r="J39" s="67">
        <f>IF($H39="","",$H39+N($I39))</f>
        <v/>
      </c>
      <c r="K39" s="66" t="n"/>
      <c r="L39" s="67">
        <f>IF($O39=0,"",MAX($J39,START)+DELAY_ALL+IF($C39=SCN_CUSTOMER,DELAY_CUSTOMER,0))</f>
        <v/>
      </c>
      <c r="M39" s="64">
        <f>IF($O39=0,"",$S39)</f>
        <v/>
      </c>
      <c r="N39" s="1" t="n"/>
      <c r="O39" s="1">
        <f>IF($K39="",0,IF(COUNTIF(Config!$F$5:$G$5,$K39)&gt;0,1,0))</f>
        <v/>
      </c>
      <c r="P39" s="1">
        <f>IF($E39="",0,IF(VATON=1,$E39*N($F39),0))</f>
        <v/>
      </c>
      <c r="Q39" s="1">
        <f>IF($O39=0,0,N($G39))</f>
        <v/>
      </c>
      <c r="R39" s="68">
        <f>IF($O39=0,"",MAX($J39,START))</f>
        <v/>
      </c>
      <c r="S39" s="1">
        <f>IF($O39=0,0,N($G39)*(1-IF($C39=SCN_CUSTOMER,LOSS_RATE,0)))</f>
        <v/>
      </c>
      <c r="T39" s="1" t="n"/>
    </row>
    <row r="40" ht="17" customHeight="1">
      <c r="A40" s="1" t="n"/>
      <c r="B40" s="69" t="n">
        <v>32</v>
      </c>
      <c r="C40" s="70" t="n"/>
      <c r="D40" s="70" t="n"/>
      <c r="E40" s="71" t="n"/>
      <c r="F40" s="72" t="n"/>
      <c r="G40" s="64">
        <f>IF($E40="","",$E40*(1+IF(VATON=1,N($F40),0)))</f>
        <v/>
      </c>
      <c r="H40" s="73" t="n"/>
      <c r="I40" s="74" t="n"/>
      <c r="J40" s="67">
        <f>IF($H40="","",$H40+N($I40))</f>
        <v/>
      </c>
      <c r="K40" s="74" t="n"/>
      <c r="L40" s="67">
        <f>IF($O40=0,"",MAX($J40,START)+DELAY_ALL+IF($C40=SCN_CUSTOMER,DELAY_CUSTOMER,0))</f>
        <v/>
      </c>
      <c r="M40" s="64">
        <f>IF($O40=0,"",$S40)</f>
        <v/>
      </c>
      <c r="N40" s="1" t="n"/>
      <c r="O40" s="1">
        <f>IF($K40="",0,IF(COUNTIF(Config!$F$5:$G$5,$K40)&gt;0,1,0))</f>
        <v/>
      </c>
      <c r="P40" s="1">
        <f>IF($E40="",0,IF(VATON=1,$E40*N($F40),0))</f>
        <v/>
      </c>
      <c r="Q40" s="1">
        <f>IF($O40=0,0,N($G40))</f>
        <v/>
      </c>
      <c r="R40" s="68">
        <f>IF($O40=0,"",MAX($J40,START))</f>
        <v/>
      </c>
      <c r="S40" s="1">
        <f>IF($O40=0,0,N($G40)*(1-IF($C40=SCN_CUSTOMER,LOSS_RATE,0)))</f>
        <v/>
      </c>
      <c r="T40" s="1" t="n"/>
    </row>
    <row r="41" ht="17" customHeight="1">
      <c r="A41" s="1" t="n"/>
      <c r="B41" s="60" t="n">
        <v>33</v>
      </c>
      <c r="C41" s="61" t="n"/>
      <c r="D41" s="61" t="n"/>
      <c r="E41" s="62" t="n"/>
      <c r="F41" s="63" t="n"/>
      <c r="G41" s="64">
        <f>IF($E41="","",$E41*(1+IF(VATON=1,N($F41),0)))</f>
        <v/>
      </c>
      <c r="H41" s="65" t="n"/>
      <c r="I41" s="66" t="n"/>
      <c r="J41" s="67">
        <f>IF($H41="","",$H41+N($I41))</f>
        <v/>
      </c>
      <c r="K41" s="66" t="n"/>
      <c r="L41" s="67">
        <f>IF($O41=0,"",MAX($J41,START)+DELAY_ALL+IF($C41=SCN_CUSTOMER,DELAY_CUSTOMER,0))</f>
        <v/>
      </c>
      <c r="M41" s="64">
        <f>IF($O41=0,"",$S41)</f>
        <v/>
      </c>
      <c r="N41" s="1" t="n"/>
      <c r="O41" s="1">
        <f>IF($K41="",0,IF(COUNTIF(Config!$F$5:$G$5,$K41)&gt;0,1,0))</f>
        <v/>
      </c>
      <c r="P41" s="1">
        <f>IF($E41="",0,IF(VATON=1,$E41*N($F41),0))</f>
        <v/>
      </c>
      <c r="Q41" s="1">
        <f>IF($O41=0,0,N($G41))</f>
        <v/>
      </c>
      <c r="R41" s="68">
        <f>IF($O41=0,"",MAX($J41,START))</f>
        <v/>
      </c>
      <c r="S41" s="1">
        <f>IF($O41=0,0,N($G41)*(1-IF($C41=SCN_CUSTOMER,LOSS_RATE,0)))</f>
        <v/>
      </c>
      <c r="T41" s="1" t="n"/>
    </row>
    <row r="42" ht="17" customHeight="1">
      <c r="A42" s="1" t="n"/>
      <c r="B42" s="69" t="n">
        <v>34</v>
      </c>
      <c r="C42" s="70" t="n"/>
      <c r="D42" s="70" t="n"/>
      <c r="E42" s="71" t="n"/>
      <c r="F42" s="72" t="n"/>
      <c r="G42" s="64">
        <f>IF($E42="","",$E42*(1+IF(VATON=1,N($F42),0)))</f>
        <v/>
      </c>
      <c r="H42" s="73" t="n"/>
      <c r="I42" s="74" t="n"/>
      <c r="J42" s="67">
        <f>IF($H42="","",$H42+N($I42))</f>
        <v/>
      </c>
      <c r="K42" s="74" t="n"/>
      <c r="L42" s="67">
        <f>IF($O42=0,"",MAX($J42,START)+DELAY_ALL+IF($C42=SCN_CUSTOMER,DELAY_CUSTOMER,0))</f>
        <v/>
      </c>
      <c r="M42" s="64">
        <f>IF($O42=0,"",$S42)</f>
        <v/>
      </c>
      <c r="N42" s="1" t="n"/>
      <c r="O42" s="1">
        <f>IF($K42="",0,IF(COUNTIF(Config!$F$5:$G$5,$K42)&gt;0,1,0))</f>
        <v/>
      </c>
      <c r="P42" s="1">
        <f>IF($E42="",0,IF(VATON=1,$E42*N($F42),0))</f>
        <v/>
      </c>
      <c r="Q42" s="1">
        <f>IF($O42=0,0,N($G42))</f>
        <v/>
      </c>
      <c r="R42" s="68">
        <f>IF($O42=0,"",MAX($J42,START))</f>
        <v/>
      </c>
      <c r="S42" s="1">
        <f>IF($O42=0,0,N($G42)*(1-IF($C42=SCN_CUSTOMER,LOSS_RATE,0)))</f>
        <v/>
      </c>
      <c r="T42" s="1" t="n"/>
    </row>
    <row r="43" ht="17" customHeight="1">
      <c r="A43" s="1" t="n"/>
      <c r="B43" s="60" t="n">
        <v>35</v>
      </c>
      <c r="C43" s="61" t="n"/>
      <c r="D43" s="61" t="n"/>
      <c r="E43" s="62" t="n"/>
      <c r="F43" s="63" t="n"/>
      <c r="G43" s="64">
        <f>IF($E43="","",$E43*(1+IF(VATON=1,N($F43),0)))</f>
        <v/>
      </c>
      <c r="H43" s="65" t="n"/>
      <c r="I43" s="66" t="n"/>
      <c r="J43" s="67">
        <f>IF($H43="","",$H43+N($I43))</f>
        <v/>
      </c>
      <c r="K43" s="66" t="n"/>
      <c r="L43" s="67">
        <f>IF($O43=0,"",MAX($J43,START)+DELAY_ALL+IF($C43=SCN_CUSTOMER,DELAY_CUSTOMER,0))</f>
        <v/>
      </c>
      <c r="M43" s="64">
        <f>IF($O43=0,"",$S43)</f>
        <v/>
      </c>
      <c r="N43" s="1" t="n"/>
      <c r="O43" s="1">
        <f>IF($K43="",0,IF(COUNTIF(Config!$F$5:$G$5,$K43)&gt;0,1,0))</f>
        <v/>
      </c>
      <c r="P43" s="1">
        <f>IF($E43="",0,IF(VATON=1,$E43*N($F43),0))</f>
        <v/>
      </c>
      <c r="Q43" s="1">
        <f>IF($O43=0,0,N($G43))</f>
        <v/>
      </c>
      <c r="R43" s="68">
        <f>IF($O43=0,"",MAX($J43,START))</f>
        <v/>
      </c>
      <c r="S43" s="1">
        <f>IF($O43=0,0,N($G43)*(1-IF($C43=SCN_CUSTOMER,LOSS_RATE,0)))</f>
        <v/>
      </c>
      <c r="T43" s="1" t="n"/>
    </row>
    <row r="44" ht="17" customHeight="1">
      <c r="A44" s="1" t="n"/>
      <c r="B44" s="69" t="n">
        <v>36</v>
      </c>
      <c r="C44" s="70" t="n"/>
      <c r="D44" s="70" t="n"/>
      <c r="E44" s="71" t="n"/>
      <c r="F44" s="72" t="n"/>
      <c r="G44" s="64">
        <f>IF($E44="","",$E44*(1+IF(VATON=1,N($F44),0)))</f>
        <v/>
      </c>
      <c r="H44" s="73" t="n"/>
      <c r="I44" s="74" t="n"/>
      <c r="J44" s="67">
        <f>IF($H44="","",$H44+N($I44))</f>
        <v/>
      </c>
      <c r="K44" s="74" t="n"/>
      <c r="L44" s="67">
        <f>IF($O44=0,"",MAX($J44,START)+DELAY_ALL+IF($C44=SCN_CUSTOMER,DELAY_CUSTOMER,0))</f>
        <v/>
      </c>
      <c r="M44" s="64">
        <f>IF($O44=0,"",$S44)</f>
        <v/>
      </c>
      <c r="N44" s="1" t="n"/>
      <c r="O44" s="1">
        <f>IF($K44="",0,IF(COUNTIF(Config!$F$5:$G$5,$K44)&gt;0,1,0))</f>
        <v/>
      </c>
      <c r="P44" s="1">
        <f>IF($E44="",0,IF(VATON=1,$E44*N($F44),0))</f>
        <v/>
      </c>
      <c r="Q44" s="1">
        <f>IF($O44=0,0,N($G44))</f>
        <v/>
      </c>
      <c r="R44" s="68">
        <f>IF($O44=0,"",MAX($J44,START))</f>
        <v/>
      </c>
      <c r="S44" s="1">
        <f>IF($O44=0,0,N($G44)*(1-IF($C44=SCN_CUSTOMER,LOSS_RATE,0)))</f>
        <v/>
      </c>
      <c r="T44" s="1" t="n"/>
    </row>
    <row r="45" ht="17" customHeight="1">
      <c r="A45" s="1" t="n"/>
      <c r="B45" s="60" t="n">
        <v>37</v>
      </c>
      <c r="C45" s="61" t="n"/>
      <c r="D45" s="61" t="n"/>
      <c r="E45" s="62" t="n"/>
      <c r="F45" s="63" t="n"/>
      <c r="G45" s="64">
        <f>IF($E45="","",$E45*(1+IF(VATON=1,N($F45),0)))</f>
        <v/>
      </c>
      <c r="H45" s="65" t="n"/>
      <c r="I45" s="66" t="n"/>
      <c r="J45" s="67">
        <f>IF($H45="","",$H45+N($I45))</f>
        <v/>
      </c>
      <c r="K45" s="66" t="n"/>
      <c r="L45" s="67">
        <f>IF($O45=0,"",MAX($J45,START)+DELAY_ALL+IF($C45=SCN_CUSTOMER,DELAY_CUSTOMER,0))</f>
        <v/>
      </c>
      <c r="M45" s="64">
        <f>IF($O45=0,"",$S45)</f>
        <v/>
      </c>
      <c r="N45" s="1" t="n"/>
      <c r="O45" s="1">
        <f>IF($K45="",0,IF(COUNTIF(Config!$F$5:$G$5,$K45)&gt;0,1,0))</f>
        <v/>
      </c>
      <c r="P45" s="1">
        <f>IF($E45="",0,IF(VATON=1,$E45*N($F45),0))</f>
        <v/>
      </c>
      <c r="Q45" s="1">
        <f>IF($O45=0,0,N($G45))</f>
        <v/>
      </c>
      <c r="R45" s="68">
        <f>IF($O45=0,"",MAX($J45,START))</f>
        <v/>
      </c>
      <c r="S45" s="1">
        <f>IF($O45=0,0,N($G45)*(1-IF($C45=SCN_CUSTOMER,LOSS_RATE,0)))</f>
        <v/>
      </c>
      <c r="T45" s="1" t="n"/>
    </row>
    <row r="46" ht="17" customHeight="1">
      <c r="A46" s="1" t="n"/>
      <c r="B46" s="69" t="n">
        <v>38</v>
      </c>
      <c r="C46" s="70" t="n"/>
      <c r="D46" s="70" t="n"/>
      <c r="E46" s="71" t="n"/>
      <c r="F46" s="72" t="n"/>
      <c r="G46" s="64">
        <f>IF($E46="","",$E46*(1+IF(VATON=1,N($F46),0)))</f>
        <v/>
      </c>
      <c r="H46" s="73" t="n"/>
      <c r="I46" s="74" t="n"/>
      <c r="J46" s="67">
        <f>IF($H46="","",$H46+N($I46))</f>
        <v/>
      </c>
      <c r="K46" s="74" t="n"/>
      <c r="L46" s="67">
        <f>IF($O46=0,"",MAX($J46,START)+DELAY_ALL+IF($C46=SCN_CUSTOMER,DELAY_CUSTOMER,0))</f>
        <v/>
      </c>
      <c r="M46" s="64">
        <f>IF($O46=0,"",$S46)</f>
        <v/>
      </c>
      <c r="N46" s="1" t="n"/>
      <c r="O46" s="1">
        <f>IF($K46="",0,IF(COUNTIF(Config!$F$5:$G$5,$K46)&gt;0,1,0))</f>
        <v/>
      </c>
      <c r="P46" s="1">
        <f>IF($E46="",0,IF(VATON=1,$E46*N($F46),0))</f>
        <v/>
      </c>
      <c r="Q46" s="1">
        <f>IF($O46=0,0,N($G46))</f>
        <v/>
      </c>
      <c r="R46" s="68">
        <f>IF($O46=0,"",MAX($J46,START))</f>
        <v/>
      </c>
      <c r="S46" s="1">
        <f>IF($O46=0,0,N($G46)*(1-IF($C46=SCN_CUSTOMER,LOSS_RATE,0)))</f>
        <v/>
      </c>
      <c r="T46" s="1" t="n"/>
    </row>
    <row r="47" ht="17" customHeight="1">
      <c r="A47" s="1" t="n"/>
      <c r="B47" s="60" t="n">
        <v>39</v>
      </c>
      <c r="C47" s="61" t="n"/>
      <c r="D47" s="61" t="n"/>
      <c r="E47" s="62" t="n"/>
      <c r="F47" s="63" t="n"/>
      <c r="G47" s="64">
        <f>IF($E47="","",$E47*(1+IF(VATON=1,N($F47),0)))</f>
        <v/>
      </c>
      <c r="H47" s="65" t="n"/>
      <c r="I47" s="66" t="n"/>
      <c r="J47" s="67">
        <f>IF($H47="","",$H47+N($I47))</f>
        <v/>
      </c>
      <c r="K47" s="66" t="n"/>
      <c r="L47" s="67">
        <f>IF($O47=0,"",MAX($J47,START)+DELAY_ALL+IF($C47=SCN_CUSTOMER,DELAY_CUSTOMER,0))</f>
        <v/>
      </c>
      <c r="M47" s="64">
        <f>IF($O47=0,"",$S47)</f>
        <v/>
      </c>
      <c r="N47" s="1" t="n"/>
      <c r="O47" s="1">
        <f>IF($K47="",0,IF(COUNTIF(Config!$F$5:$G$5,$K47)&gt;0,1,0))</f>
        <v/>
      </c>
      <c r="P47" s="1">
        <f>IF($E47="",0,IF(VATON=1,$E47*N($F47),0))</f>
        <v/>
      </c>
      <c r="Q47" s="1">
        <f>IF($O47=0,0,N($G47))</f>
        <v/>
      </c>
      <c r="R47" s="68">
        <f>IF($O47=0,"",MAX($J47,START))</f>
        <v/>
      </c>
      <c r="S47" s="1">
        <f>IF($O47=0,0,N($G47)*(1-IF($C47=SCN_CUSTOMER,LOSS_RATE,0)))</f>
        <v/>
      </c>
      <c r="T47" s="1" t="n"/>
    </row>
    <row r="48" ht="17" customHeight="1">
      <c r="A48" s="1" t="n"/>
      <c r="B48" s="69" t="n">
        <v>40</v>
      </c>
      <c r="C48" s="70" t="n"/>
      <c r="D48" s="70" t="n"/>
      <c r="E48" s="71" t="n"/>
      <c r="F48" s="72" t="n"/>
      <c r="G48" s="64">
        <f>IF($E48="","",$E48*(1+IF(VATON=1,N($F48),0)))</f>
        <v/>
      </c>
      <c r="H48" s="73" t="n"/>
      <c r="I48" s="74" t="n"/>
      <c r="J48" s="67">
        <f>IF($H48="","",$H48+N($I48))</f>
        <v/>
      </c>
      <c r="K48" s="74" t="n"/>
      <c r="L48" s="67">
        <f>IF($O48=0,"",MAX($J48,START)+DELAY_ALL+IF($C48=SCN_CUSTOMER,DELAY_CUSTOMER,0))</f>
        <v/>
      </c>
      <c r="M48" s="64">
        <f>IF($O48=0,"",$S48)</f>
        <v/>
      </c>
      <c r="N48" s="1" t="n"/>
      <c r="O48" s="1">
        <f>IF($K48="",0,IF(COUNTIF(Config!$F$5:$G$5,$K48)&gt;0,1,0))</f>
        <v/>
      </c>
      <c r="P48" s="1">
        <f>IF($E48="",0,IF(VATON=1,$E48*N($F48),0))</f>
        <v/>
      </c>
      <c r="Q48" s="1">
        <f>IF($O48=0,0,N($G48))</f>
        <v/>
      </c>
      <c r="R48" s="68">
        <f>IF($O48=0,"",MAX($J48,START))</f>
        <v/>
      </c>
      <c r="S48" s="1">
        <f>IF($O48=0,0,N($G48)*(1-IF($C48=SCN_CUSTOMER,LOSS_RATE,0)))</f>
        <v/>
      </c>
      <c r="T48" s="1" t="n"/>
    </row>
    <row r="49" ht="17" customHeight="1">
      <c r="A49" s="1" t="n"/>
      <c r="B49" s="60" t="n">
        <v>41</v>
      </c>
      <c r="C49" s="61" t="n"/>
      <c r="D49" s="61" t="n"/>
      <c r="E49" s="62" t="n"/>
      <c r="F49" s="63" t="n"/>
      <c r="G49" s="64">
        <f>IF($E49="","",$E49*(1+IF(VATON=1,N($F49),0)))</f>
        <v/>
      </c>
      <c r="H49" s="65" t="n"/>
      <c r="I49" s="66" t="n"/>
      <c r="J49" s="67">
        <f>IF($H49="","",$H49+N($I49))</f>
        <v/>
      </c>
      <c r="K49" s="66" t="n"/>
      <c r="L49" s="67">
        <f>IF($O49=0,"",MAX($J49,START)+DELAY_ALL+IF($C49=SCN_CUSTOMER,DELAY_CUSTOMER,0))</f>
        <v/>
      </c>
      <c r="M49" s="64">
        <f>IF($O49=0,"",$S49)</f>
        <v/>
      </c>
      <c r="N49" s="1" t="n"/>
      <c r="O49" s="1">
        <f>IF($K49="",0,IF(COUNTIF(Config!$F$5:$G$5,$K49)&gt;0,1,0))</f>
        <v/>
      </c>
      <c r="P49" s="1">
        <f>IF($E49="",0,IF(VATON=1,$E49*N($F49),0))</f>
        <v/>
      </c>
      <c r="Q49" s="1">
        <f>IF($O49=0,0,N($G49))</f>
        <v/>
      </c>
      <c r="R49" s="68">
        <f>IF($O49=0,"",MAX($J49,START))</f>
        <v/>
      </c>
      <c r="S49" s="1">
        <f>IF($O49=0,0,N($G49)*(1-IF($C49=SCN_CUSTOMER,LOSS_RATE,0)))</f>
        <v/>
      </c>
      <c r="T49" s="1" t="n"/>
    </row>
    <row r="50" ht="17" customHeight="1">
      <c r="A50" s="1" t="n"/>
      <c r="B50" s="69" t="n">
        <v>42</v>
      </c>
      <c r="C50" s="70" t="n"/>
      <c r="D50" s="70" t="n"/>
      <c r="E50" s="71" t="n"/>
      <c r="F50" s="72" t="n"/>
      <c r="G50" s="64">
        <f>IF($E50="","",$E50*(1+IF(VATON=1,N($F50),0)))</f>
        <v/>
      </c>
      <c r="H50" s="73" t="n"/>
      <c r="I50" s="74" t="n"/>
      <c r="J50" s="67">
        <f>IF($H50="","",$H50+N($I50))</f>
        <v/>
      </c>
      <c r="K50" s="74" t="n"/>
      <c r="L50" s="67">
        <f>IF($O50=0,"",MAX($J50,START)+DELAY_ALL+IF($C50=SCN_CUSTOMER,DELAY_CUSTOMER,0))</f>
        <v/>
      </c>
      <c r="M50" s="64">
        <f>IF($O50=0,"",$S50)</f>
        <v/>
      </c>
      <c r="N50" s="1" t="n"/>
      <c r="O50" s="1">
        <f>IF($K50="",0,IF(COUNTIF(Config!$F$5:$G$5,$K50)&gt;0,1,0))</f>
        <v/>
      </c>
      <c r="P50" s="1">
        <f>IF($E50="",0,IF(VATON=1,$E50*N($F50),0))</f>
        <v/>
      </c>
      <c r="Q50" s="1">
        <f>IF($O50=0,0,N($G50))</f>
        <v/>
      </c>
      <c r="R50" s="68">
        <f>IF($O50=0,"",MAX($J50,START))</f>
        <v/>
      </c>
      <c r="S50" s="1">
        <f>IF($O50=0,0,N($G50)*(1-IF($C50=SCN_CUSTOMER,LOSS_RATE,0)))</f>
        <v/>
      </c>
      <c r="T50" s="1" t="n"/>
    </row>
    <row r="51" ht="17" customHeight="1">
      <c r="A51" s="1" t="n"/>
      <c r="B51" s="60" t="n">
        <v>43</v>
      </c>
      <c r="C51" s="61" t="n"/>
      <c r="D51" s="61" t="n"/>
      <c r="E51" s="62" t="n"/>
      <c r="F51" s="63" t="n"/>
      <c r="G51" s="64">
        <f>IF($E51="","",$E51*(1+IF(VATON=1,N($F51),0)))</f>
        <v/>
      </c>
      <c r="H51" s="65" t="n"/>
      <c r="I51" s="66" t="n"/>
      <c r="J51" s="67">
        <f>IF($H51="","",$H51+N($I51))</f>
        <v/>
      </c>
      <c r="K51" s="66" t="n"/>
      <c r="L51" s="67">
        <f>IF($O51=0,"",MAX($J51,START)+DELAY_ALL+IF($C51=SCN_CUSTOMER,DELAY_CUSTOMER,0))</f>
        <v/>
      </c>
      <c r="M51" s="64">
        <f>IF($O51=0,"",$S51)</f>
        <v/>
      </c>
      <c r="N51" s="1" t="n"/>
      <c r="O51" s="1">
        <f>IF($K51="",0,IF(COUNTIF(Config!$F$5:$G$5,$K51)&gt;0,1,0))</f>
        <v/>
      </c>
      <c r="P51" s="1">
        <f>IF($E51="",0,IF(VATON=1,$E51*N($F51),0))</f>
        <v/>
      </c>
      <c r="Q51" s="1">
        <f>IF($O51=0,0,N($G51))</f>
        <v/>
      </c>
      <c r="R51" s="68">
        <f>IF($O51=0,"",MAX($J51,START))</f>
        <v/>
      </c>
      <c r="S51" s="1">
        <f>IF($O51=0,0,N($G51)*(1-IF($C51=SCN_CUSTOMER,LOSS_RATE,0)))</f>
        <v/>
      </c>
      <c r="T51" s="1" t="n"/>
    </row>
    <row r="52" ht="17" customHeight="1">
      <c r="A52" s="1" t="n"/>
      <c r="B52" s="69" t="n">
        <v>44</v>
      </c>
      <c r="C52" s="70" t="n"/>
      <c r="D52" s="70" t="n"/>
      <c r="E52" s="71" t="n"/>
      <c r="F52" s="72" t="n"/>
      <c r="G52" s="64">
        <f>IF($E52="","",$E52*(1+IF(VATON=1,N($F52),0)))</f>
        <v/>
      </c>
      <c r="H52" s="73" t="n"/>
      <c r="I52" s="74" t="n"/>
      <c r="J52" s="67">
        <f>IF($H52="","",$H52+N($I52))</f>
        <v/>
      </c>
      <c r="K52" s="74" t="n"/>
      <c r="L52" s="67">
        <f>IF($O52=0,"",MAX($J52,START)+DELAY_ALL+IF($C52=SCN_CUSTOMER,DELAY_CUSTOMER,0))</f>
        <v/>
      </c>
      <c r="M52" s="64">
        <f>IF($O52=0,"",$S52)</f>
        <v/>
      </c>
      <c r="N52" s="1" t="n"/>
      <c r="O52" s="1">
        <f>IF($K52="",0,IF(COUNTIF(Config!$F$5:$G$5,$K52)&gt;0,1,0))</f>
        <v/>
      </c>
      <c r="P52" s="1">
        <f>IF($E52="",0,IF(VATON=1,$E52*N($F52),0))</f>
        <v/>
      </c>
      <c r="Q52" s="1">
        <f>IF($O52=0,0,N($G52))</f>
        <v/>
      </c>
      <c r="R52" s="68">
        <f>IF($O52=0,"",MAX($J52,START))</f>
        <v/>
      </c>
      <c r="S52" s="1">
        <f>IF($O52=0,0,N($G52)*(1-IF($C52=SCN_CUSTOMER,LOSS_RATE,0)))</f>
        <v/>
      </c>
      <c r="T52" s="1" t="n"/>
    </row>
    <row r="53" ht="17" customHeight="1">
      <c r="A53" s="1" t="n"/>
      <c r="B53" s="60" t="n">
        <v>45</v>
      </c>
      <c r="C53" s="61" t="n"/>
      <c r="D53" s="61" t="n"/>
      <c r="E53" s="62" t="n"/>
      <c r="F53" s="63" t="n"/>
      <c r="G53" s="64">
        <f>IF($E53="","",$E53*(1+IF(VATON=1,N($F53),0)))</f>
        <v/>
      </c>
      <c r="H53" s="65" t="n"/>
      <c r="I53" s="66" t="n"/>
      <c r="J53" s="67">
        <f>IF($H53="","",$H53+N($I53))</f>
        <v/>
      </c>
      <c r="K53" s="66" t="n"/>
      <c r="L53" s="67">
        <f>IF($O53=0,"",MAX($J53,START)+DELAY_ALL+IF($C53=SCN_CUSTOMER,DELAY_CUSTOMER,0))</f>
        <v/>
      </c>
      <c r="M53" s="64">
        <f>IF($O53=0,"",$S53)</f>
        <v/>
      </c>
      <c r="N53" s="1" t="n"/>
      <c r="O53" s="1">
        <f>IF($K53="",0,IF(COUNTIF(Config!$F$5:$G$5,$K53)&gt;0,1,0))</f>
        <v/>
      </c>
      <c r="P53" s="1">
        <f>IF($E53="",0,IF(VATON=1,$E53*N($F53),0))</f>
        <v/>
      </c>
      <c r="Q53" s="1">
        <f>IF($O53=0,0,N($G53))</f>
        <v/>
      </c>
      <c r="R53" s="68">
        <f>IF($O53=0,"",MAX($J53,START))</f>
        <v/>
      </c>
      <c r="S53" s="1">
        <f>IF($O53=0,0,N($G53)*(1-IF($C53=SCN_CUSTOMER,LOSS_RATE,0)))</f>
        <v/>
      </c>
      <c r="T53" s="1" t="n"/>
    </row>
    <row r="54" ht="17" customHeight="1">
      <c r="A54" s="1" t="n"/>
      <c r="B54" s="69" t="n">
        <v>46</v>
      </c>
      <c r="C54" s="70" t="n"/>
      <c r="D54" s="70" t="n"/>
      <c r="E54" s="71" t="n"/>
      <c r="F54" s="72" t="n"/>
      <c r="G54" s="64">
        <f>IF($E54="","",$E54*(1+IF(VATON=1,N($F54),0)))</f>
        <v/>
      </c>
      <c r="H54" s="73" t="n"/>
      <c r="I54" s="74" t="n"/>
      <c r="J54" s="67">
        <f>IF($H54="","",$H54+N($I54))</f>
        <v/>
      </c>
      <c r="K54" s="74" t="n"/>
      <c r="L54" s="67">
        <f>IF($O54=0,"",MAX($J54,START)+DELAY_ALL+IF($C54=SCN_CUSTOMER,DELAY_CUSTOMER,0))</f>
        <v/>
      </c>
      <c r="M54" s="64">
        <f>IF($O54=0,"",$S54)</f>
        <v/>
      </c>
      <c r="N54" s="1" t="n"/>
      <c r="O54" s="1">
        <f>IF($K54="",0,IF(COUNTIF(Config!$F$5:$G$5,$K54)&gt;0,1,0))</f>
        <v/>
      </c>
      <c r="P54" s="1">
        <f>IF($E54="",0,IF(VATON=1,$E54*N($F54),0))</f>
        <v/>
      </c>
      <c r="Q54" s="1">
        <f>IF($O54=0,0,N($G54))</f>
        <v/>
      </c>
      <c r="R54" s="68">
        <f>IF($O54=0,"",MAX($J54,START))</f>
        <v/>
      </c>
      <c r="S54" s="1">
        <f>IF($O54=0,0,N($G54)*(1-IF($C54=SCN_CUSTOMER,LOSS_RATE,0)))</f>
        <v/>
      </c>
      <c r="T54" s="1" t="n"/>
    </row>
    <row r="55" ht="17" customHeight="1">
      <c r="A55" s="1" t="n"/>
      <c r="B55" s="60" t="n">
        <v>47</v>
      </c>
      <c r="C55" s="61" t="n"/>
      <c r="D55" s="61" t="n"/>
      <c r="E55" s="62" t="n"/>
      <c r="F55" s="63" t="n"/>
      <c r="G55" s="64">
        <f>IF($E55="","",$E55*(1+IF(VATON=1,N($F55),0)))</f>
        <v/>
      </c>
      <c r="H55" s="65" t="n"/>
      <c r="I55" s="66" t="n"/>
      <c r="J55" s="67">
        <f>IF($H55="","",$H55+N($I55))</f>
        <v/>
      </c>
      <c r="K55" s="66" t="n"/>
      <c r="L55" s="67">
        <f>IF($O55=0,"",MAX($J55,START)+DELAY_ALL+IF($C55=SCN_CUSTOMER,DELAY_CUSTOMER,0))</f>
        <v/>
      </c>
      <c r="M55" s="64">
        <f>IF($O55=0,"",$S55)</f>
        <v/>
      </c>
      <c r="N55" s="1" t="n"/>
      <c r="O55" s="1">
        <f>IF($K55="",0,IF(COUNTIF(Config!$F$5:$G$5,$K55)&gt;0,1,0))</f>
        <v/>
      </c>
      <c r="P55" s="1">
        <f>IF($E55="",0,IF(VATON=1,$E55*N($F55),0))</f>
        <v/>
      </c>
      <c r="Q55" s="1">
        <f>IF($O55=0,0,N($G55))</f>
        <v/>
      </c>
      <c r="R55" s="68">
        <f>IF($O55=0,"",MAX($J55,START))</f>
        <v/>
      </c>
      <c r="S55" s="1">
        <f>IF($O55=0,0,N($G55)*(1-IF($C55=SCN_CUSTOMER,LOSS_RATE,0)))</f>
        <v/>
      </c>
      <c r="T55" s="1" t="n"/>
    </row>
    <row r="56" ht="17" customHeight="1">
      <c r="A56" s="1" t="n"/>
      <c r="B56" s="69" t="n">
        <v>48</v>
      </c>
      <c r="C56" s="70" t="n"/>
      <c r="D56" s="70" t="n"/>
      <c r="E56" s="71" t="n"/>
      <c r="F56" s="72" t="n"/>
      <c r="G56" s="64">
        <f>IF($E56="","",$E56*(1+IF(VATON=1,N($F56),0)))</f>
        <v/>
      </c>
      <c r="H56" s="73" t="n"/>
      <c r="I56" s="74" t="n"/>
      <c r="J56" s="67">
        <f>IF($H56="","",$H56+N($I56))</f>
        <v/>
      </c>
      <c r="K56" s="74" t="n"/>
      <c r="L56" s="67">
        <f>IF($O56=0,"",MAX($J56,START)+DELAY_ALL+IF($C56=SCN_CUSTOMER,DELAY_CUSTOMER,0))</f>
        <v/>
      </c>
      <c r="M56" s="64">
        <f>IF($O56=0,"",$S56)</f>
        <v/>
      </c>
      <c r="N56" s="1" t="n"/>
      <c r="O56" s="1">
        <f>IF($K56="",0,IF(COUNTIF(Config!$F$5:$G$5,$K56)&gt;0,1,0))</f>
        <v/>
      </c>
      <c r="P56" s="1">
        <f>IF($E56="",0,IF(VATON=1,$E56*N($F56),0))</f>
        <v/>
      </c>
      <c r="Q56" s="1">
        <f>IF($O56=0,0,N($G56))</f>
        <v/>
      </c>
      <c r="R56" s="68">
        <f>IF($O56=0,"",MAX($J56,START))</f>
        <v/>
      </c>
      <c r="S56" s="1">
        <f>IF($O56=0,0,N($G56)*(1-IF($C56=SCN_CUSTOMER,LOSS_RATE,0)))</f>
        <v/>
      </c>
      <c r="T56" s="1" t="n"/>
    </row>
    <row r="57" ht="17" customHeight="1">
      <c r="A57" s="1" t="n"/>
      <c r="B57" s="60" t="n">
        <v>49</v>
      </c>
      <c r="C57" s="61" t="n"/>
      <c r="D57" s="61" t="n"/>
      <c r="E57" s="62" t="n"/>
      <c r="F57" s="63" t="n"/>
      <c r="G57" s="64">
        <f>IF($E57="","",$E57*(1+IF(VATON=1,N($F57),0)))</f>
        <v/>
      </c>
      <c r="H57" s="65" t="n"/>
      <c r="I57" s="66" t="n"/>
      <c r="J57" s="67">
        <f>IF($H57="","",$H57+N($I57))</f>
        <v/>
      </c>
      <c r="K57" s="66" t="n"/>
      <c r="L57" s="67">
        <f>IF($O57=0,"",MAX($J57,START)+DELAY_ALL+IF($C57=SCN_CUSTOMER,DELAY_CUSTOMER,0))</f>
        <v/>
      </c>
      <c r="M57" s="64">
        <f>IF($O57=0,"",$S57)</f>
        <v/>
      </c>
      <c r="N57" s="1" t="n"/>
      <c r="O57" s="1">
        <f>IF($K57="",0,IF(COUNTIF(Config!$F$5:$G$5,$K57)&gt;0,1,0))</f>
        <v/>
      </c>
      <c r="P57" s="1">
        <f>IF($E57="",0,IF(VATON=1,$E57*N($F57),0))</f>
        <v/>
      </c>
      <c r="Q57" s="1">
        <f>IF($O57=0,0,N($G57))</f>
        <v/>
      </c>
      <c r="R57" s="68">
        <f>IF($O57=0,"",MAX($J57,START))</f>
        <v/>
      </c>
      <c r="S57" s="1">
        <f>IF($O57=0,0,N($G57)*(1-IF($C57=SCN_CUSTOMER,LOSS_RATE,0)))</f>
        <v/>
      </c>
      <c r="T57" s="1" t="n"/>
    </row>
    <row r="58" ht="17" customHeight="1">
      <c r="A58" s="1" t="n"/>
      <c r="B58" s="69" t="n">
        <v>50</v>
      </c>
      <c r="C58" s="70" t="n"/>
      <c r="D58" s="70" t="n"/>
      <c r="E58" s="71" t="n"/>
      <c r="F58" s="72" t="n"/>
      <c r="G58" s="64">
        <f>IF($E58="","",$E58*(1+IF(VATON=1,N($F58),0)))</f>
        <v/>
      </c>
      <c r="H58" s="73" t="n"/>
      <c r="I58" s="74" t="n"/>
      <c r="J58" s="67">
        <f>IF($H58="","",$H58+N($I58))</f>
        <v/>
      </c>
      <c r="K58" s="74" t="n"/>
      <c r="L58" s="67">
        <f>IF($O58=0,"",MAX($J58,START)+DELAY_ALL+IF($C58=SCN_CUSTOMER,DELAY_CUSTOMER,0))</f>
        <v/>
      </c>
      <c r="M58" s="64">
        <f>IF($O58=0,"",$S58)</f>
        <v/>
      </c>
      <c r="N58" s="1" t="n"/>
      <c r="O58" s="1">
        <f>IF($K58="",0,IF(COUNTIF(Config!$F$5:$G$5,$K58)&gt;0,1,0))</f>
        <v/>
      </c>
      <c r="P58" s="1">
        <f>IF($E58="",0,IF(VATON=1,$E58*N($F58),0))</f>
        <v/>
      </c>
      <c r="Q58" s="1">
        <f>IF($O58=0,0,N($G58))</f>
        <v/>
      </c>
      <c r="R58" s="68">
        <f>IF($O58=0,"",MAX($J58,START))</f>
        <v/>
      </c>
      <c r="S58" s="1">
        <f>IF($O58=0,0,N($G58)*(1-IF($C58=SCN_CUSTOMER,LOSS_RATE,0)))</f>
        <v/>
      </c>
      <c r="T58" s="1" t="n"/>
    </row>
    <row r="59" ht="17" customHeight="1">
      <c r="A59" s="1" t="n"/>
      <c r="B59" s="60" t="n">
        <v>51</v>
      </c>
      <c r="C59" s="61" t="n"/>
      <c r="D59" s="61" t="n"/>
      <c r="E59" s="62" t="n"/>
      <c r="F59" s="63" t="n"/>
      <c r="G59" s="64">
        <f>IF($E59="","",$E59*(1+IF(VATON=1,N($F59),0)))</f>
        <v/>
      </c>
      <c r="H59" s="65" t="n"/>
      <c r="I59" s="66" t="n"/>
      <c r="J59" s="67">
        <f>IF($H59="","",$H59+N($I59))</f>
        <v/>
      </c>
      <c r="K59" s="66" t="n"/>
      <c r="L59" s="67">
        <f>IF($O59=0,"",MAX($J59,START)+DELAY_ALL+IF($C59=SCN_CUSTOMER,DELAY_CUSTOMER,0))</f>
        <v/>
      </c>
      <c r="M59" s="64">
        <f>IF($O59=0,"",$S59)</f>
        <v/>
      </c>
      <c r="N59" s="1" t="n"/>
      <c r="O59" s="1">
        <f>IF($K59="",0,IF(COUNTIF(Config!$F$5:$G$5,$K59)&gt;0,1,0))</f>
        <v/>
      </c>
      <c r="P59" s="1">
        <f>IF($E59="",0,IF(VATON=1,$E59*N($F59),0))</f>
        <v/>
      </c>
      <c r="Q59" s="1">
        <f>IF($O59=0,0,N($G59))</f>
        <v/>
      </c>
      <c r="R59" s="68">
        <f>IF($O59=0,"",MAX($J59,START))</f>
        <v/>
      </c>
      <c r="S59" s="1">
        <f>IF($O59=0,0,N($G59)*(1-IF($C59=SCN_CUSTOMER,LOSS_RATE,0)))</f>
        <v/>
      </c>
      <c r="T59" s="1" t="n"/>
    </row>
    <row r="60" ht="17" customHeight="1">
      <c r="A60" s="1" t="n"/>
      <c r="B60" s="69" t="n">
        <v>52</v>
      </c>
      <c r="C60" s="70" t="n"/>
      <c r="D60" s="70" t="n"/>
      <c r="E60" s="71" t="n"/>
      <c r="F60" s="72" t="n"/>
      <c r="G60" s="64">
        <f>IF($E60="","",$E60*(1+IF(VATON=1,N($F60),0)))</f>
        <v/>
      </c>
      <c r="H60" s="73" t="n"/>
      <c r="I60" s="74" t="n"/>
      <c r="J60" s="67">
        <f>IF($H60="","",$H60+N($I60))</f>
        <v/>
      </c>
      <c r="K60" s="74" t="n"/>
      <c r="L60" s="67">
        <f>IF($O60=0,"",MAX($J60,START)+DELAY_ALL+IF($C60=SCN_CUSTOMER,DELAY_CUSTOMER,0))</f>
        <v/>
      </c>
      <c r="M60" s="64">
        <f>IF($O60=0,"",$S60)</f>
        <v/>
      </c>
      <c r="N60" s="1" t="n"/>
      <c r="O60" s="1">
        <f>IF($K60="",0,IF(COUNTIF(Config!$F$5:$G$5,$K60)&gt;0,1,0))</f>
        <v/>
      </c>
      <c r="P60" s="1">
        <f>IF($E60="",0,IF(VATON=1,$E60*N($F60),0))</f>
        <v/>
      </c>
      <c r="Q60" s="1">
        <f>IF($O60=0,0,N($G60))</f>
        <v/>
      </c>
      <c r="R60" s="68">
        <f>IF($O60=0,"",MAX($J60,START))</f>
        <v/>
      </c>
      <c r="S60" s="1">
        <f>IF($O60=0,0,N($G60)*(1-IF($C60=SCN_CUSTOMER,LOSS_RATE,0)))</f>
        <v/>
      </c>
      <c r="T60" s="1" t="n"/>
    </row>
    <row r="61" ht="17" customHeight="1">
      <c r="A61" s="1" t="n"/>
      <c r="B61" s="60" t="n">
        <v>53</v>
      </c>
      <c r="C61" s="61" t="n"/>
      <c r="D61" s="61" t="n"/>
      <c r="E61" s="62" t="n"/>
      <c r="F61" s="63" t="n"/>
      <c r="G61" s="64">
        <f>IF($E61="","",$E61*(1+IF(VATON=1,N($F61),0)))</f>
        <v/>
      </c>
      <c r="H61" s="65" t="n"/>
      <c r="I61" s="66" t="n"/>
      <c r="J61" s="67">
        <f>IF($H61="","",$H61+N($I61))</f>
        <v/>
      </c>
      <c r="K61" s="66" t="n"/>
      <c r="L61" s="67">
        <f>IF($O61=0,"",MAX($J61,START)+DELAY_ALL+IF($C61=SCN_CUSTOMER,DELAY_CUSTOMER,0))</f>
        <v/>
      </c>
      <c r="M61" s="64">
        <f>IF($O61=0,"",$S61)</f>
        <v/>
      </c>
      <c r="N61" s="1" t="n"/>
      <c r="O61" s="1">
        <f>IF($K61="",0,IF(COUNTIF(Config!$F$5:$G$5,$K61)&gt;0,1,0))</f>
        <v/>
      </c>
      <c r="P61" s="1">
        <f>IF($E61="",0,IF(VATON=1,$E61*N($F61),0))</f>
        <v/>
      </c>
      <c r="Q61" s="1">
        <f>IF($O61=0,0,N($G61))</f>
        <v/>
      </c>
      <c r="R61" s="68">
        <f>IF($O61=0,"",MAX($J61,START))</f>
        <v/>
      </c>
      <c r="S61" s="1">
        <f>IF($O61=0,0,N($G61)*(1-IF($C61=SCN_CUSTOMER,LOSS_RATE,0)))</f>
        <v/>
      </c>
      <c r="T61" s="1" t="n"/>
    </row>
    <row r="62" ht="17" customHeight="1">
      <c r="A62" s="1" t="n"/>
      <c r="B62" s="69" t="n">
        <v>54</v>
      </c>
      <c r="C62" s="70" t="n"/>
      <c r="D62" s="70" t="n"/>
      <c r="E62" s="71" t="n"/>
      <c r="F62" s="72" t="n"/>
      <c r="G62" s="64">
        <f>IF($E62="","",$E62*(1+IF(VATON=1,N($F62),0)))</f>
        <v/>
      </c>
      <c r="H62" s="73" t="n"/>
      <c r="I62" s="74" t="n"/>
      <c r="J62" s="67">
        <f>IF($H62="","",$H62+N($I62))</f>
        <v/>
      </c>
      <c r="K62" s="74" t="n"/>
      <c r="L62" s="67">
        <f>IF($O62=0,"",MAX($J62,START)+DELAY_ALL+IF($C62=SCN_CUSTOMER,DELAY_CUSTOMER,0))</f>
        <v/>
      </c>
      <c r="M62" s="64">
        <f>IF($O62=0,"",$S62)</f>
        <v/>
      </c>
      <c r="N62" s="1" t="n"/>
      <c r="O62" s="1">
        <f>IF($K62="",0,IF(COUNTIF(Config!$F$5:$G$5,$K62)&gt;0,1,0))</f>
        <v/>
      </c>
      <c r="P62" s="1">
        <f>IF($E62="",0,IF(VATON=1,$E62*N($F62),0))</f>
        <v/>
      </c>
      <c r="Q62" s="1">
        <f>IF($O62=0,0,N($G62))</f>
        <v/>
      </c>
      <c r="R62" s="68">
        <f>IF($O62=0,"",MAX($J62,START))</f>
        <v/>
      </c>
      <c r="S62" s="1">
        <f>IF($O62=0,0,N($G62)*(1-IF($C62=SCN_CUSTOMER,LOSS_RATE,0)))</f>
        <v/>
      </c>
      <c r="T62" s="1" t="n"/>
    </row>
    <row r="63" ht="17" customHeight="1">
      <c r="A63" s="1" t="n"/>
      <c r="B63" s="60" t="n">
        <v>55</v>
      </c>
      <c r="C63" s="61" t="n"/>
      <c r="D63" s="61" t="n"/>
      <c r="E63" s="62" t="n"/>
      <c r="F63" s="63" t="n"/>
      <c r="G63" s="64">
        <f>IF($E63="","",$E63*(1+IF(VATON=1,N($F63),0)))</f>
        <v/>
      </c>
      <c r="H63" s="65" t="n"/>
      <c r="I63" s="66" t="n"/>
      <c r="J63" s="67">
        <f>IF($H63="","",$H63+N($I63))</f>
        <v/>
      </c>
      <c r="K63" s="66" t="n"/>
      <c r="L63" s="67">
        <f>IF($O63=0,"",MAX($J63,START)+DELAY_ALL+IF($C63=SCN_CUSTOMER,DELAY_CUSTOMER,0))</f>
        <v/>
      </c>
      <c r="M63" s="64">
        <f>IF($O63=0,"",$S63)</f>
        <v/>
      </c>
      <c r="N63" s="1" t="n"/>
      <c r="O63" s="1">
        <f>IF($K63="",0,IF(COUNTIF(Config!$F$5:$G$5,$K63)&gt;0,1,0))</f>
        <v/>
      </c>
      <c r="P63" s="1">
        <f>IF($E63="",0,IF(VATON=1,$E63*N($F63),0))</f>
        <v/>
      </c>
      <c r="Q63" s="1">
        <f>IF($O63=0,0,N($G63))</f>
        <v/>
      </c>
      <c r="R63" s="68">
        <f>IF($O63=0,"",MAX($J63,START))</f>
        <v/>
      </c>
      <c r="S63" s="1">
        <f>IF($O63=0,0,N($G63)*(1-IF($C63=SCN_CUSTOMER,LOSS_RATE,0)))</f>
        <v/>
      </c>
      <c r="T63" s="1" t="n"/>
    </row>
    <row r="64" ht="17" customHeight="1">
      <c r="A64" s="1" t="n"/>
      <c r="B64" s="69" t="n">
        <v>56</v>
      </c>
      <c r="C64" s="70" t="n"/>
      <c r="D64" s="70" t="n"/>
      <c r="E64" s="71" t="n"/>
      <c r="F64" s="72" t="n"/>
      <c r="G64" s="64">
        <f>IF($E64="","",$E64*(1+IF(VATON=1,N($F64),0)))</f>
        <v/>
      </c>
      <c r="H64" s="73" t="n"/>
      <c r="I64" s="74" t="n"/>
      <c r="J64" s="67">
        <f>IF($H64="","",$H64+N($I64))</f>
        <v/>
      </c>
      <c r="K64" s="74" t="n"/>
      <c r="L64" s="67">
        <f>IF($O64=0,"",MAX($J64,START)+DELAY_ALL+IF($C64=SCN_CUSTOMER,DELAY_CUSTOMER,0))</f>
        <v/>
      </c>
      <c r="M64" s="64">
        <f>IF($O64=0,"",$S64)</f>
        <v/>
      </c>
      <c r="N64" s="1" t="n"/>
      <c r="O64" s="1">
        <f>IF($K64="",0,IF(COUNTIF(Config!$F$5:$G$5,$K64)&gt;0,1,0))</f>
        <v/>
      </c>
      <c r="P64" s="1">
        <f>IF($E64="",0,IF(VATON=1,$E64*N($F64),0))</f>
        <v/>
      </c>
      <c r="Q64" s="1">
        <f>IF($O64=0,0,N($G64))</f>
        <v/>
      </c>
      <c r="R64" s="68">
        <f>IF($O64=0,"",MAX($J64,START))</f>
        <v/>
      </c>
      <c r="S64" s="1">
        <f>IF($O64=0,0,N($G64)*(1-IF($C64=SCN_CUSTOMER,LOSS_RATE,0)))</f>
        <v/>
      </c>
      <c r="T64" s="1" t="n"/>
    </row>
    <row r="65" ht="17" customHeight="1">
      <c r="A65" s="1" t="n"/>
      <c r="B65" s="60" t="n">
        <v>57</v>
      </c>
      <c r="C65" s="61" t="n"/>
      <c r="D65" s="61" t="n"/>
      <c r="E65" s="62" t="n"/>
      <c r="F65" s="63" t="n"/>
      <c r="G65" s="64">
        <f>IF($E65="","",$E65*(1+IF(VATON=1,N($F65),0)))</f>
        <v/>
      </c>
      <c r="H65" s="65" t="n"/>
      <c r="I65" s="66" t="n"/>
      <c r="J65" s="67">
        <f>IF($H65="","",$H65+N($I65))</f>
        <v/>
      </c>
      <c r="K65" s="66" t="n"/>
      <c r="L65" s="67">
        <f>IF($O65=0,"",MAX($J65,START)+DELAY_ALL+IF($C65=SCN_CUSTOMER,DELAY_CUSTOMER,0))</f>
        <v/>
      </c>
      <c r="M65" s="64">
        <f>IF($O65=0,"",$S65)</f>
        <v/>
      </c>
      <c r="N65" s="1" t="n"/>
      <c r="O65" s="1">
        <f>IF($K65="",0,IF(COUNTIF(Config!$F$5:$G$5,$K65)&gt;0,1,0))</f>
        <v/>
      </c>
      <c r="P65" s="1">
        <f>IF($E65="",0,IF(VATON=1,$E65*N($F65),0))</f>
        <v/>
      </c>
      <c r="Q65" s="1">
        <f>IF($O65=0,0,N($G65))</f>
        <v/>
      </c>
      <c r="R65" s="68">
        <f>IF($O65=0,"",MAX($J65,START))</f>
        <v/>
      </c>
      <c r="S65" s="1">
        <f>IF($O65=0,0,N($G65)*(1-IF($C65=SCN_CUSTOMER,LOSS_RATE,0)))</f>
        <v/>
      </c>
      <c r="T65" s="1" t="n"/>
    </row>
    <row r="66" ht="17" customHeight="1">
      <c r="A66" s="1" t="n"/>
      <c r="B66" s="69" t="n">
        <v>58</v>
      </c>
      <c r="C66" s="70" t="n"/>
      <c r="D66" s="70" t="n"/>
      <c r="E66" s="71" t="n"/>
      <c r="F66" s="72" t="n"/>
      <c r="G66" s="64">
        <f>IF($E66="","",$E66*(1+IF(VATON=1,N($F66),0)))</f>
        <v/>
      </c>
      <c r="H66" s="73" t="n"/>
      <c r="I66" s="74" t="n"/>
      <c r="J66" s="67">
        <f>IF($H66="","",$H66+N($I66))</f>
        <v/>
      </c>
      <c r="K66" s="74" t="n"/>
      <c r="L66" s="67">
        <f>IF($O66=0,"",MAX($J66,START)+DELAY_ALL+IF($C66=SCN_CUSTOMER,DELAY_CUSTOMER,0))</f>
        <v/>
      </c>
      <c r="M66" s="64">
        <f>IF($O66=0,"",$S66)</f>
        <v/>
      </c>
      <c r="N66" s="1" t="n"/>
      <c r="O66" s="1">
        <f>IF($K66="",0,IF(COUNTIF(Config!$F$5:$G$5,$K66)&gt;0,1,0))</f>
        <v/>
      </c>
      <c r="P66" s="1">
        <f>IF($E66="",0,IF(VATON=1,$E66*N($F66),0))</f>
        <v/>
      </c>
      <c r="Q66" s="1">
        <f>IF($O66=0,0,N($G66))</f>
        <v/>
      </c>
      <c r="R66" s="68">
        <f>IF($O66=0,"",MAX($J66,START))</f>
        <v/>
      </c>
      <c r="S66" s="1">
        <f>IF($O66=0,0,N($G66)*(1-IF($C66=SCN_CUSTOMER,LOSS_RATE,0)))</f>
        <v/>
      </c>
      <c r="T66" s="1" t="n"/>
    </row>
    <row r="67" ht="17" customHeight="1">
      <c r="A67" s="1" t="n"/>
      <c r="B67" s="60" t="n">
        <v>59</v>
      </c>
      <c r="C67" s="61" t="n"/>
      <c r="D67" s="61" t="n"/>
      <c r="E67" s="62" t="n"/>
      <c r="F67" s="63" t="n"/>
      <c r="G67" s="64">
        <f>IF($E67="","",$E67*(1+IF(VATON=1,N($F67),0)))</f>
        <v/>
      </c>
      <c r="H67" s="65" t="n"/>
      <c r="I67" s="66" t="n"/>
      <c r="J67" s="67">
        <f>IF($H67="","",$H67+N($I67))</f>
        <v/>
      </c>
      <c r="K67" s="66" t="n"/>
      <c r="L67" s="67">
        <f>IF($O67=0,"",MAX($J67,START)+DELAY_ALL+IF($C67=SCN_CUSTOMER,DELAY_CUSTOMER,0))</f>
        <v/>
      </c>
      <c r="M67" s="64">
        <f>IF($O67=0,"",$S67)</f>
        <v/>
      </c>
      <c r="N67" s="1" t="n"/>
      <c r="O67" s="1">
        <f>IF($K67="",0,IF(COUNTIF(Config!$F$5:$G$5,$K67)&gt;0,1,0))</f>
        <v/>
      </c>
      <c r="P67" s="1">
        <f>IF($E67="",0,IF(VATON=1,$E67*N($F67),0))</f>
        <v/>
      </c>
      <c r="Q67" s="1">
        <f>IF($O67=0,0,N($G67))</f>
        <v/>
      </c>
      <c r="R67" s="68">
        <f>IF($O67=0,"",MAX($J67,START))</f>
        <v/>
      </c>
      <c r="S67" s="1">
        <f>IF($O67=0,0,N($G67)*(1-IF($C67=SCN_CUSTOMER,LOSS_RATE,0)))</f>
        <v/>
      </c>
      <c r="T67" s="1" t="n"/>
    </row>
    <row r="68" ht="17" customHeight="1">
      <c r="A68" s="1" t="n"/>
      <c r="B68" s="69" t="n">
        <v>60</v>
      </c>
      <c r="C68" s="70" t="n"/>
      <c r="D68" s="70" t="n"/>
      <c r="E68" s="71" t="n"/>
      <c r="F68" s="72" t="n"/>
      <c r="G68" s="64">
        <f>IF($E68="","",$E68*(1+IF(VATON=1,N($F68),0)))</f>
        <v/>
      </c>
      <c r="H68" s="73" t="n"/>
      <c r="I68" s="74" t="n"/>
      <c r="J68" s="67">
        <f>IF($H68="","",$H68+N($I68))</f>
        <v/>
      </c>
      <c r="K68" s="74" t="n"/>
      <c r="L68" s="67">
        <f>IF($O68=0,"",MAX($J68,START)+DELAY_ALL+IF($C68=SCN_CUSTOMER,DELAY_CUSTOMER,0))</f>
        <v/>
      </c>
      <c r="M68" s="64">
        <f>IF($O68=0,"",$S68)</f>
        <v/>
      </c>
      <c r="N68" s="1" t="n"/>
      <c r="O68" s="1">
        <f>IF($K68="",0,IF(COUNTIF(Config!$F$5:$G$5,$K68)&gt;0,1,0))</f>
        <v/>
      </c>
      <c r="P68" s="1">
        <f>IF($E68="",0,IF(VATON=1,$E68*N($F68),0))</f>
        <v/>
      </c>
      <c r="Q68" s="1">
        <f>IF($O68=0,0,N($G68))</f>
        <v/>
      </c>
      <c r="R68" s="68">
        <f>IF($O68=0,"",MAX($J68,START))</f>
        <v/>
      </c>
      <c r="S68" s="1">
        <f>IF($O68=0,0,N($G68)*(1-IF($C68=SCN_CUSTOMER,LOSS_RATE,0)))</f>
        <v/>
      </c>
      <c r="T68" s="1" t="n"/>
    </row>
    <row r="69" ht="17" customHeight="1">
      <c r="A69" s="1" t="n"/>
      <c r="B69" s="60" t="n">
        <v>61</v>
      </c>
      <c r="C69" s="61" t="n"/>
      <c r="D69" s="61" t="n"/>
      <c r="E69" s="62" t="n"/>
      <c r="F69" s="63" t="n"/>
      <c r="G69" s="64">
        <f>IF($E69="","",$E69*(1+IF(VATON=1,N($F69),0)))</f>
        <v/>
      </c>
      <c r="H69" s="65" t="n"/>
      <c r="I69" s="66" t="n"/>
      <c r="J69" s="67">
        <f>IF($H69="","",$H69+N($I69))</f>
        <v/>
      </c>
      <c r="K69" s="66" t="n"/>
      <c r="L69" s="67">
        <f>IF($O69=0,"",MAX($J69,START)+DELAY_ALL+IF($C69=SCN_CUSTOMER,DELAY_CUSTOMER,0))</f>
        <v/>
      </c>
      <c r="M69" s="64">
        <f>IF($O69=0,"",$S69)</f>
        <v/>
      </c>
      <c r="N69" s="1" t="n"/>
      <c r="O69" s="1">
        <f>IF($K69="",0,IF(COUNTIF(Config!$F$5:$G$5,$K69)&gt;0,1,0))</f>
        <v/>
      </c>
      <c r="P69" s="1">
        <f>IF($E69="",0,IF(VATON=1,$E69*N($F69),0))</f>
        <v/>
      </c>
      <c r="Q69" s="1">
        <f>IF($O69=0,0,N($G69))</f>
        <v/>
      </c>
      <c r="R69" s="68">
        <f>IF($O69=0,"",MAX($J69,START))</f>
        <v/>
      </c>
      <c r="S69" s="1">
        <f>IF($O69=0,0,N($G69)*(1-IF($C69=SCN_CUSTOMER,LOSS_RATE,0)))</f>
        <v/>
      </c>
      <c r="T69" s="1" t="n"/>
    </row>
    <row r="70" ht="17" customHeight="1">
      <c r="A70" s="1" t="n"/>
      <c r="B70" s="69" t="n">
        <v>62</v>
      </c>
      <c r="C70" s="70" t="n"/>
      <c r="D70" s="70" t="n"/>
      <c r="E70" s="71" t="n"/>
      <c r="F70" s="72" t="n"/>
      <c r="G70" s="64">
        <f>IF($E70="","",$E70*(1+IF(VATON=1,N($F70),0)))</f>
        <v/>
      </c>
      <c r="H70" s="73" t="n"/>
      <c r="I70" s="74" t="n"/>
      <c r="J70" s="67">
        <f>IF($H70="","",$H70+N($I70))</f>
        <v/>
      </c>
      <c r="K70" s="74" t="n"/>
      <c r="L70" s="67">
        <f>IF($O70=0,"",MAX($J70,START)+DELAY_ALL+IF($C70=SCN_CUSTOMER,DELAY_CUSTOMER,0))</f>
        <v/>
      </c>
      <c r="M70" s="64">
        <f>IF($O70=0,"",$S70)</f>
        <v/>
      </c>
      <c r="N70" s="1" t="n"/>
      <c r="O70" s="1">
        <f>IF($K70="",0,IF(COUNTIF(Config!$F$5:$G$5,$K70)&gt;0,1,0))</f>
        <v/>
      </c>
      <c r="P70" s="1">
        <f>IF($E70="",0,IF(VATON=1,$E70*N($F70),0))</f>
        <v/>
      </c>
      <c r="Q70" s="1">
        <f>IF($O70=0,0,N($G70))</f>
        <v/>
      </c>
      <c r="R70" s="68">
        <f>IF($O70=0,"",MAX($J70,START))</f>
        <v/>
      </c>
      <c r="S70" s="1">
        <f>IF($O70=0,0,N($G70)*(1-IF($C70=SCN_CUSTOMER,LOSS_RATE,0)))</f>
        <v/>
      </c>
      <c r="T70" s="1" t="n"/>
    </row>
    <row r="71" ht="17" customHeight="1">
      <c r="A71" s="1" t="n"/>
      <c r="B71" s="60" t="n">
        <v>63</v>
      </c>
      <c r="C71" s="61" t="n"/>
      <c r="D71" s="61" t="n"/>
      <c r="E71" s="62" t="n"/>
      <c r="F71" s="63" t="n"/>
      <c r="G71" s="64">
        <f>IF($E71="","",$E71*(1+IF(VATON=1,N($F71),0)))</f>
        <v/>
      </c>
      <c r="H71" s="65" t="n"/>
      <c r="I71" s="66" t="n"/>
      <c r="J71" s="67">
        <f>IF($H71="","",$H71+N($I71))</f>
        <v/>
      </c>
      <c r="K71" s="66" t="n"/>
      <c r="L71" s="67">
        <f>IF($O71=0,"",MAX($J71,START)+DELAY_ALL+IF($C71=SCN_CUSTOMER,DELAY_CUSTOMER,0))</f>
        <v/>
      </c>
      <c r="M71" s="64">
        <f>IF($O71=0,"",$S71)</f>
        <v/>
      </c>
      <c r="N71" s="1" t="n"/>
      <c r="O71" s="1">
        <f>IF($K71="",0,IF(COUNTIF(Config!$F$5:$G$5,$K71)&gt;0,1,0))</f>
        <v/>
      </c>
      <c r="P71" s="1">
        <f>IF($E71="",0,IF(VATON=1,$E71*N($F71),0))</f>
        <v/>
      </c>
      <c r="Q71" s="1">
        <f>IF($O71=0,0,N($G71))</f>
        <v/>
      </c>
      <c r="R71" s="68">
        <f>IF($O71=0,"",MAX($J71,START))</f>
        <v/>
      </c>
      <c r="S71" s="1">
        <f>IF($O71=0,0,N($G71)*(1-IF($C71=SCN_CUSTOMER,LOSS_RATE,0)))</f>
        <v/>
      </c>
      <c r="T71" s="1" t="n"/>
    </row>
    <row r="72" ht="17" customHeight="1">
      <c r="A72" s="1" t="n"/>
      <c r="B72" s="69" t="n">
        <v>64</v>
      </c>
      <c r="C72" s="70" t="n"/>
      <c r="D72" s="70" t="n"/>
      <c r="E72" s="71" t="n"/>
      <c r="F72" s="72" t="n"/>
      <c r="G72" s="64">
        <f>IF($E72="","",$E72*(1+IF(VATON=1,N($F72),0)))</f>
        <v/>
      </c>
      <c r="H72" s="73" t="n"/>
      <c r="I72" s="74" t="n"/>
      <c r="J72" s="67">
        <f>IF($H72="","",$H72+N($I72))</f>
        <v/>
      </c>
      <c r="K72" s="74" t="n"/>
      <c r="L72" s="67">
        <f>IF($O72=0,"",MAX($J72,START)+DELAY_ALL+IF($C72=SCN_CUSTOMER,DELAY_CUSTOMER,0))</f>
        <v/>
      </c>
      <c r="M72" s="64">
        <f>IF($O72=0,"",$S72)</f>
        <v/>
      </c>
      <c r="N72" s="1" t="n"/>
      <c r="O72" s="1">
        <f>IF($K72="",0,IF(COUNTIF(Config!$F$5:$G$5,$K72)&gt;0,1,0))</f>
        <v/>
      </c>
      <c r="P72" s="1">
        <f>IF($E72="",0,IF(VATON=1,$E72*N($F72),0))</f>
        <v/>
      </c>
      <c r="Q72" s="1">
        <f>IF($O72=0,0,N($G72))</f>
        <v/>
      </c>
      <c r="R72" s="68">
        <f>IF($O72=0,"",MAX($J72,START))</f>
        <v/>
      </c>
      <c r="S72" s="1">
        <f>IF($O72=0,0,N($G72)*(1-IF($C72=SCN_CUSTOMER,LOSS_RATE,0)))</f>
        <v/>
      </c>
      <c r="T72" s="1" t="n"/>
    </row>
    <row r="73" ht="17" customHeight="1">
      <c r="A73" s="1" t="n"/>
      <c r="B73" s="60" t="n">
        <v>65</v>
      </c>
      <c r="C73" s="61" t="n"/>
      <c r="D73" s="61" t="n"/>
      <c r="E73" s="62" t="n"/>
      <c r="F73" s="63" t="n"/>
      <c r="G73" s="64">
        <f>IF($E73="","",$E73*(1+IF(VATON=1,N($F73),0)))</f>
        <v/>
      </c>
      <c r="H73" s="65" t="n"/>
      <c r="I73" s="66" t="n"/>
      <c r="J73" s="67">
        <f>IF($H73="","",$H73+N($I73))</f>
        <v/>
      </c>
      <c r="K73" s="66" t="n"/>
      <c r="L73" s="67">
        <f>IF($O73=0,"",MAX($J73,START)+DELAY_ALL+IF($C73=SCN_CUSTOMER,DELAY_CUSTOMER,0))</f>
        <v/>
      </c>
      <c r="M73" s="64">
        <f>IF($O73=0,"",$S73)</f>
        <v/>
      </c>
      <c r="N73" s="1" t="n"/>
      <c r="O73" s="1">
        <f>IF($K73="",0,IF(COUNTIF(Config!$F$5:$G$5,$K73)&gt;0,1,0))</f>
        <v/>
      </c>
      <c r="P73" s="1">
        <f>IF($E73="",0,IF(VATON=1,$E73*N($F73),0))</f>
        <v/>
      </c>
      <c r="Q73" s="1">
        <f>IF($O73=0,0,N($G73))</f>
        <v/>
      </c>
      <c r="R73" s="68">
        <f>IF($O73=0,"",MAX($J73,START))</f>
        <v/>
      </c>
      <c r="S73" s="1">
        <f>IF($O73=0,0,N($G73)*(1-IF($C73=SCN_CUSTOMER,LOSS_RATE,0)))</f>
        <v/>
      </c>
      <c r="T73" s="1" t="n"/>
    </row>
    <row r="74" ht="17" customHeight="1">
      <c r="A74" s="1" t="n"/>
      <c r="B74" s="69" t="n">
        <v>66</v>
      </c>
      <c r="C74" s="70" t="n"/>
      <c r="D74" s="70" t="n"/>
      <c r="E74" s="71" t="n"/>
      <c r="F74" s="72" t="n"/>
      <c r="G74" s="64">
        <f>IF($E74="","",$E74*(1+IF(VATON=1,N($F74),0)))</f>
        <v/>
      </c>
      <c r="H74" s="73" t="n"/>
      <c r="I74" s="74" t="n"/>
      <c r="J74" s="67">
        <f>IF($H74="","",$H74+N($I74))</f>
        <v/>
      </c>
      <c r="K74" s="74" t="n"/>
      <c r="L74" s="67">
        <f>IF($O74=0,"",MAX($J74,START)+DELAY_ALL+IF($C74=SCN_CUSTOMER,DELAY_CUSTOMER,0))</f>
        <v/>
      </c>
      <c r="M74" s="64">
        <f>IF($O74=0,"",$S74)</f>
        <v/>
      </c>
      <c r="N74" s="1" t="n"/>
      <c r="O74" s="1">
        <f>IF($K74="",0,IF(COUNTIF(Config!$F$5:$G$5,$K74)&gt;0,1,0))</f>
        <v/>
      </c>
      <c r="P74" s="1">
        <f>IF($E74="",0,IF(VATON=1,$E74*N($F74),0))</f>
        <v/>
      </c>
      <c r="Q74" s="1">
        <f>IF($O74=0,0,N($G74))</f>
        <v/>
      </c>
      <c r="R74" s="68">
        <f>IF($O74=0,"",MAX($J74,START))</f>
        <v/>
      </c>
      <c r="S74" s="1">
        <f>IF($O74=0,0,N($G74)*(1-IF($C74=SCN_CUSTOMER,LOSS_RATE,0)))</f>
        <v/>
      </c>
      <c r="T74" s="1" t="n"/>
    </row>
    <row r="75" ht="17" customHeight="1">
      <c r="A75" s="1" t="n"/>
      <c r="B75" s="60" t="n">
        <v>67</v>
      </c>
      <c r="C75" s="61" t="n"/>
      <c r="D75" s="61" t="n"/>
      <c r="E75" s="62" t="n"/>
      <c r="F75" s="63" t="n"/>
      <c r="G75" s="64">
        <f>IF($E75="","",$E75*(1+IF(VATON=1,N($F75),0)))</f>
        <v/>
      </c>
      <c r="H75" s="65" t="n"/>
      <c r="I75" s="66" t="n"/>
      <c r="J75" s="67">
        <f>IF($H75="","",$H75+N($I75))</f>
        <v/>
      </c>
      <c r="K75" s="66" t="n"/>
      <c r="L75" s="67">
        <f>IF($O75=0,"",MAX($J75,START)+DELAY_ALL+IF($C75=SCN_CUSTOMER,DELAY_CUSTOMER,0))</f>
        <v/>
      </c>
      <c r="M75" s="64">
        <f>IF($O75=0,"",$S75)</f>
        <v/>
      </c>
      <c r="N75" s="1" t="n"/>
      <c r="O75" s="1">
        <f>IF($K75="",0,IF(COUNTIF(Config!$F$5:$G$5,$K75)&gt;0,1,0))</f>
        <v/>
      </c>
      <c r="P75" s="1">
        <f>IF($E75="",0,IF(VATON=1,$E75*N($F75),0))</f>
        <v/>
      </c>
      <c r="Q75" s="1">
        <f>IF($O75=0,0,N($G75))</f>
        <v/>
      </c>
      <c r="R75" s="68">
        <f>IF($O75=0,"",MAX($J75,START))</f>
        <v/>
      </c>
      <c r="S75" s="1">
        <f>IF($O75=0,0,N($G75)*(1-IF($C75=SCN_CUSTOMER,LOSS_RATE,0)))</f>
        <v/>
      </c>
      <c r="T75" s="1" t="n"/>
    </row>
    <row r="76" ht="17" customHeight="1">
      <c r="A76" s="1" t="n"/>
      <c r="B76" s="69" t="n">
        <v>68</v>
      </c>
      <c r="C76" s="70" t="n"/>
      <c r="D76" s="70" t="n"/>
      <c r="E76" s="71" t="n"/>
      <c r="F76" s="72" t="n"/>
      <c r="G76" s="64">
        <f>IF($E76="","",$E76*(1+IF(VATON=1,N($F76),0)))</f>
        <v/>
      </c>
      <c r="H76" s="73" t="n"/>
      <c r="I76" s="74" t="n"/>
      <c r="J76" s="67">
        <f>IF($H76="","",$H76+N($I76))</f>
        <v/>
      </c>
      <c r="K76" s="74" t="n"/>
      <c r="L76" s="67">
        <f>IF($O76=0,"",MAX($J76,START)+DELAY_ALL+IF($C76=SCN_CUSTOMER,DELAY_CUSTOMER,0))</f>
        <v/>
      </c>
      <c r="M76" s="64">
        <f>IF($O76=0,"",$S76)</f>
        <v/>
      </c>
      <c r="N76" s="1" t="n"/>
      <c r="O76" s="1">
        <f>IF($K76="",0,IF(COUNTIF(Config!$F$5:$G$5,$K76)&gt;0,1,0))</f>
        <v/>
      </c>
      <c r="P76" s="1">
        <f>IF($E76="",0,IF(VATON=1,$E76*N($F76),0))</f>
        <v/>
      </c>
      <c r="Q76" s="1">
        <f>IF($O76=0,0,N($G76))</f>
        <v/>
      </c>
      <c r="R76" s="68">
        <f>IF($O76=0,"",MAX($J76,START))</f>
        <v/>
      </c>
      <c r="S76" s="1">
        <f>IF($O76=0,0,N($G76)*(1-IF($C76=SCN_CUSTOMER,LOSS_RATE,0)))</f>
        <v/>
      </c>
      <c r="T76" s="1" t="n"/>
    </row>
    <row r="77" ht="17" customHeight="1">
      <c r="A77" s="1" t="n"/>
      <c r="B77" s="60" t="n">
        <v>69</v>
      </c>
      <c r="C77" s="61" t="n"/>
      <c r="D77" s="61" t="n"/>
      <c r="E77" s="62" t="n"/>
      <c r="F77" s="63" t="n"/>
      <c r="G77" s="64">
        <f>IF($E77="","",$E77*(1+IF(VATON=1,N($F77),0)))</f>
        <v/>
      </c>
      <c r="H77" s="65" t="n"/>
      <c r="I77" s="66" t="n"/>
      <c r="J77" s="67">
        <f>IF($H77="","",$H77+N($I77))</f>
        <v/>
      </c>
      <c r="K77" s="66" t="n"/>
      <c r="L77" s="67">
        <f>IF($O77=0,"",MAX($J77,START)+DELAY_ALL+IF($C77=SCN_CUSTOMER,DELAY_CUSTOMER,0))</f>
        <v/>
      </c>
      <c r="M77" s="64">
        <f>IF($O77=0,"",$S77)</f>
        <v/>
      </c>
      <c r="N77" s="1" t="n"/>
      <c r="O77" s="1">
        <f>IF($K77="",0,IF(COUNTIF(Config!$F$5:$G$5,$K77)&gt;0,1,0))</f>
        <v/>
      </c>
      <c r="P77" s="1">
        <f>IF($E77="",0,IF(VATON=1,$E77*N($F77),0))</f>
        <v/>
      </c>
      <c r="Q77" s="1">
        <f>IF($O77=0,0,N($G77))</f>
        <v/>
      </c>
      <c r="R77" s="68">
        <f>IF($O77=0,"",MAX($J77,START))</f>
        <v/>
      </c>
      <c r="S77" s="1">
        <f>IF($O77=0,0,N($G77)*(1-IF($C77=SCN_CUSTOMER,LOSS_RATE,0)))</f>
        <v/>
      </c>
      <c r="T77" s="1" t="n"/>
    </row>
    <row r="78" ht="17" customHeight="1">
      <c r="A78" s="1" t="n"/>
      <c r="B78" s="69" t="n">
        <v>70</v>
      </c>
      <c r="C78" s="70" t="n"/>
      <c r="D78" s="70" t="n"/>
      <c r="E78" s="71" t="n"/>
      <c r="F78" s="72" t="n"/>
      <c r="G78" s="64">
        <f>IF($E78="","",$E78*(1+IF(VATON=1,N($F78),0)))</f>
        <v/>
      </c>
      <c r="H78" s="73" t="n"/>
      <c r="I78" s="74" t="n"/>
      <c r="J78" s="67">
        <f>IF($H78="","",$H78+N($I78))</f>
        <v/>
      </c>
      <c r="K78" s="74" t="n"/>
      <c r="L78" s="67">
        <f>IF($O78=0,"",MAX($J78,START)+DELAY_ALL+IF($C78=SCN_CUSTOMER,DELAY_CUSTOMER,0))</f>
        <v/>
      </c>
      <c r="M78" s="64">
        <f>IF($O78=0,"",$S78)</f>
        <v/>
      </c>
      <c r="N78" s="1" t="n"/>
      <c r="O78" s="1">
        <f>IF($K78="",0,IF(COUNTIF(Config!$F$5:$G$5,$K78)&gt;0,1,0))</f>
        <v/>
      </c>
      <c r="P78" s="1">
        <f>IF($E78="",0,IF(VATON=1,$E78*N($F78),0))</f>
        <v/>
      </c>
      <c r="Q78" s="1">
        <f>IF($O78=0,0,N($G78))</f>
        <v/>
      </c>
      <c r="R78" s="68">
        <f>IF($O78=0,"",MAX($J78,START))</f>
        <v/>
      </c>
      <c r="S78" s="1">
        <f>IF($O78=0,0,N($G78)*(1-IF($C78=SCN_CUSTOMER,LOSS_RATE,0)))</f>
        <v/>
      </c>
      <c r="T78" s="1" t="n"/>
    </row>
    <row r="79" ht="17" customHeight="1">
      <c r="A79" s="1" t="n"/>
      <c r="B79" s="60" t="n">
        <v>71</v>
      </c>
      <c r="C79" s="61" t="n"/>
      <c r="D79" s="61" t="n"/>
      <c r="E79" s="62" t="n"/>
      <c r="F79" s="63" t="n"/>
      <c r="G79" s="64">
        <f>IF($E79="","",$E79*(1+IF(VATON=1,N($F79),0)))</f>
        <v/>
      </c>
      <c r="H79" s="65" t="n"/>
      <c r="I79" s="66" t="n"/>
      <c r="J79" s="67">
        <f>IF($H79="","",$H79+N($I79))</f>
        <v/>
      </c>
      <c r="K79" s="66" t="n"/>
      <c r="L79" s="67">
        <f>IF($O79=0,"",MAX($J79,START)+DELAY_ALL+IF($C79=SCN_CUSTOMER,DELAY_CUSTOMER,0))</f>
        <v/>
      </c>
      <c r="M79" s="64">
        <f>IF($O79=0,"",$S79)</f>
        <v/>
      </c>
      <c r="N79" s="1" t="n"/>
      <c r="O79" s="1">
        <f>IF($K79="",0,IF(COUNTIF(Config!$F$5:$G$5,$K79)&gt;0,1,0))</f>
        <v/>
      </c>
      <c r="P79" s="1">
        <f>IF($E79="",0,IF(VATON=1,$E79*N($F79),0))</f>
        <v/>
      </c>
      <c r="Q79" s="1">
        <f>IF($O79=0,0,N($G79))</f>
        <v/>
      </c>
      <c r="R79" s="68">
        <f>IF($O79=0,"",MAX($J79,START))</f>
        <v/>
      </c>
      <c r="S79" s="1">
        <f>IF($O79=0,0,N($G79)*(1-IF($C79=SCN_CUSTOMER,LOSS_RATE,0)))</f>
        <v/>
      </c>
      <c r="T79" s="1" t="n"/>
    </row>
    <row r="80" ht="17" customHeight="1">
      <c r="A80" s="1" t="n"/>
      <c r="B80" s="69" t="n">
        <v>72</v>
      </c>
      <c r="C80" s="70" t="n"/>
      <c r="D80" s="70" t="n"/>
      <c r="E80" s="71" t="n"/>
      <c r="F80" s="72" t="n"/>
      <c r="G80" s="64">
        <f>IF($E80="","",$E80*(1+IF(VATON=1,N($F80),0)))</f>
        <v/>
      </c>
      <c r="H80" s="73" t="n"/>
      <c r="I80" s="74" t="n"/>
      <c r="J80" s="67">
        <f>IF($H80="","",$H80+N($I80))</f>
        <v/>
      </c>
      <c r="K80" s="74" t="n"/>
      <c r="L80" s="67">
        <f>IF($O80=0,"",MAX($J80,START)+DELAY_ALL+IF($C80=SCN_CUSTOMER,DELAY_CUSTOMER,0))</f>
        <v/>
      </c>
      <c r="M80" s="64">
        <f>IF($O80=0,"",$S80)</f>
        <v/>
      </c>
      <c r="N80" s="1" t="n"/>
      <c r="O80" s="1">
        <f>IF($K80="",0,IF(COUNTIF(Config!$F$5:$G$5,$K80)&gt;0,1,0))</f>
        <v/>
      </c>
      <c r="P80" s="1">
        <f>IF($E80="",0,IF(VATON=1,$E80*N($F80),0))</f>
        <v/>
      </c>
      <c r="Q80" s="1">
        <f>IF($O80=0,0,N($G80))</f>
        <v/>
      </c>
      <c r="R80" s="68">
        <f>IF($O80=0,"",MAX($J80,START))</f>
        <v/>
      </c>
      <c r="S80" s="1">
        <f>IF($O80=0,0,N($G80)*(1-IF($C80=SCN_CUSTOMER,LOSS_RATE,0)))</f>
        <v/>
      </c>
      <c r="T80" s="1" t="n"/>
    </row>
    <row r="81" ht="17" customHeight="1">
      <c r="A81" s="1" t="n"/>
      <c r="B81" s="60" t="n">
        <v>73</v>
      </c>
      <c r="C81" s="61" t="n"/>
      <c r="D81" s="61" t="n"/>
      <c r="E81" s="62" t="n"/>
      <c r="F81" s="63" t="n"/>
      <c r="G81" s="64">
        <f>IF($E81="","",$E81*(1+IF(VATON=1,N($F81),0)))</f>
        <v/>
      </c>
      <c r="H81" s="65" t="n"/>
      <c r="I81" s="66" t="n"/>
      <c r="J81" s="67">
        <f>IF($H81="","",$H81+N($I81))</f>
        <v/>
      </c>
      <c r="K81" s="66" t="n"/>
      <c r="L81" s="67">
        <f>IF($O81=0,"",MAX($J81,START)+DELAY_ALL+IF($C81=SCN_CUSTOMER,DELAY_CUSTOMER,0))</f>
        <v/>
      </c>
      <c r="M81" s="64">
        <f>IF($O81=0,"",$S81)</f>
        <v/>
      </c>
      <c r="N81" s="1" t="n"/>
      <c r="O81" s="1">
        <f>IF($K81="",0,IF(COUNTIF(Config!$F$5:$G$5,$K81)&gt;0,1,0))</f>
        <v/>
      </c>
      <c r="P81" s="1">
        <f>IF($E81="",0,IF(VATON=1,$E81*N($F81),0))</f>
        <v/>
      </c>
      <c r="Q81" s="1">
        <f>IF($O81=0,0,N($G81))</f>
        <v/>
      </c>
      <c r="R81" s="68">
        <f>IF($O81=0,"",MAX($J81,START))</f>
        <v/>
      </c>
      <c r="S81" s="1">
        <f>IF($O81=0,0,N($G81)*(1-IF($C81=SCN_CUSTOMER,LOSS_RATE,0)))</f>
        <v/>
      </c>
      <c r="T81" s="1" t="n"/>
    </row>
    <row r="82" ht="17" customHeight="1">
      <c r="A82" s="1" t="n"/>
      <c r="B82" s="69" t="n">
        <v>74</v>
      </c>
      <c r="C82" s="70" t="n"/>
      <c r="D82" s="70" t="n"/>
      <c r="E82" s="71" t="n"/>
      <c r="F82" s="72" t="n"/>
      <c r="G82" s="64">
        <f>IF($E82="","",$E82*(1+IF(VATON=1,N($F82),0)))</f>
        <v/>
      </c>
      <c r="H82" s="73" t="n"/>
      <c r="I82" s="74" t="n"/>
      <c r="J82" s="67">
        <f>IF($H82="","",$H82+N($I82))</f>
        <v/>
      </c>
      <c r="K82" s="74" t="n"/>
      <c r="L82" s="67">
        <f>IF($O82=0,"",MAX($J82,START)+DELAY_ALL+IF($C82=SCN_CUSTOMER,DELAY_CUSTOMER,0))</f>
        <v/>
      </c>
      <c r="M82" s="64">
        <f>IF($O82=0,"",$S82)</f>
        <v/>
      </c>
      <c r="N82" s="1" t="n"/>
      <c r="O82" s="1">
        <f>IF($K82="",0,IF(COUNTIF(Config!$F$5:$G$5,$K82)&gt;0,1,0))</f>
        <v/>
      </c>
      <c r="P82" s="1">
        <f>IF($E82="",0,IF(VATON=1,$E82*N($F82),0))</f>
        <v/>
      </c>
      <c r="Q82" s="1">
        <f>IF($O82=0,0,N($G82))</f>
        <v/>
      </c>
      <c r="R82" s="68">
        <f>IF($O82=0,"",MAX($J82,START))</f>
        <v/>
      </c>
      <c r="S82" s="1">
        <f>IF($O82=0,0,N($G82)*(1-IF($C82=SCN_CUSTOMER,LOSS_RATE,0)))</f>
        <v/>
      </c>
      <c r="T82" s="1" t="n"/>
    </row>
    <row r="83" ht="17" customHeight="1">
      <c r="A83" s="1" t="n"/>
      <c r="B83" s="60" t="n">
        <v>75</v>
      </c>
      <c r="C83" s="61" t="n"/>
      <c r="D83" s="61" t="n"/>
      <c r="E83" s="62" t="n"/>
      <c r="F83" s="63" t="n"/>
      <c r="G83" s="64">
        <f>IF($E83="","",$E83*(1+IF(VATON=1,N($F83),0)))</f>
        <v/>
      </c>
      <c r="H83" s="65" t="n"/>
      <c r="I83" s="66" t="n"/>
      <c r="J83" s="67">
        <f>IF($H83="","",$H83+N($I83))</f>
        <v/>
      </c>
      <c r="K83" s="66" t="n"/>
      <c r="L83" s="67">
        <f>IF($O83=0,"",MAX($J83,START)+DELAY_ALL+IF($C83=SCN_CUSTOMER,DELAY_CUSTOMER,0))</f>
        <v/>
      </c>
      <c r="M83" s="64">
        <f>IF($O83=0,"",$S83)</f>
        <v/>
      </c>
      <c r="N83" s="1" t="n"/>
      <c r="O83" s="1">
        <f>IF($K83="",0,IF(COUNTIF(Config!$F$5:$G$5,$K83)&gt;0,1,0))</f>
        <v/>
      </c>
      <c r="P83" s="1">
        <f>IF($E83="",0,IF(VATON=1,$E83*N($F83),0))</f>
        <v/>
      </c>
      <c r="Q83" s="1">
        <f>IF($O83=0,0,N($G83))</f>
        <v/>
      </c>
      <c r="R83" s="68">
        <f>IF($O83=0,"",MAX($J83,START))</f>
        <v/>
      </c>
      <c r="S83" s="1">
        <f>IF($O83=0,0,N($G83)*(1-IF($C83=SCN_CUSTOMER,LOSS_RATE,0)))</f>
        <v/>
      </c>
      <c r="T83" s="1" t="n"/>
    </row>
    <row r="84" ht="17" customHeight="1">
      <c r="A84" s="1" t="n"/>
      <c r="B84" s="69" t="n">
        <v>76</v>
      </c>
      <c r="C84" s="70" t="n"/>
      <c r="D84" s="70" t="n"/>
      <c r="E84" s="71" t="n"/>
      <c r="F84" s="72" t="n"/>
      <c r="G84" s="64">
        <f>IF($E84="","",$E84*(1+IF(VATON=1,N($F84),0)))</f>
        <v/>
      </c>
      <c r="H84" s="73" t="n"/>
      <c r="I84" s="74" t="n"/>
      <c r="J84" s="67">
        <f>IF($H84="","",$H84+N($I84))</f>
        <v/>
      </c>
      <c r="K84" s="74" t="n"/>
      <c r="L84" s="67">
        <f>IF($O84=0,"",MAX($J84,START)+DELAY_ALL+IF($C84=SCN_CUSTOMER,DELAY_CUSTOMER,0))</f>
        <v/>
      </c>
      <c r="M84" s="64">
        <f>IF($O84=0,"",$S84)</f>
        <v/>
      </c>
      <c r="N84" s="1" t="n"/>
      <c r="O84" s="1">
        <f>IF($K84="",0,IF(COUNTIF(Config!$F$5:$G$5,$K84)&gt;0,1,0))</f>
        <v/>
      </c>
      <c r="P84" s="1">
        <f>IF($E84="",0,IF(VATON=1,$E84*N($F84),0))</f>
        <v/>
      </c>
      <c r="Q84" s="1">
        <f>IF($O84=0,0,N($G84))</f>
        <v/>
      </c>
      <c r="R84" s="68">
        <f>IF($O84=0,"",MAX($J84,START))</f>
        <v/>
      </c>
      <c r="S84" s="1">
        <f>IF($O84=0,0,N($G84)*(1-IF($C84=SCN_CUSTOMER,LOSS_RATE,0)))</f>
        <v/>
      </c>
      <c r="T84" s="1" t="n"/>
    </row>
    <row r="85" ht="17" customHeight="1">
      <c r="A85" s="1" t="n"/>
      <c r="B85" s="60" t="n">
        <v>77</v>
      </c>
      <c r="C85" s="61" t="n"/>
      <c r="D85" s="61" t="n"/>
      <c r="E85" s="62" t="n"/>
      <c r="F85" s="63" t="n"/>
      <c r="G85" s="64">
        <f>IF($E85="","",$E85*(1+IF(VATON=1,N($F85),0)))</f>
        <v/>
      </c>
      <c r="H85" s="65" t="n"/>
      <c r="I85" s="66" t="n"/>
      <c r="J85" s="67">
        <f>IF($H85="","",$H85+N($I85))</f>
        <v/>
      </c>
      <c r="K85" s="66" t="n"/>
      <c r="L85" s="67">
        <f>IF($O85=0,"",MAX($J85,START)+DELAY_ALL+IF($C85=SCN_CUSTOMER,DELAY_CUSTOMER,0))</f>
        <v/>
      </c>
      <c r="M85" s="64">
        <f>IF($O85=0,"",$S85)</f>
        <v/>
      </c>
      <c r="N85" s="1" t="n"/>
      <c r="O85" s="1">
        <f>IF($K85="",0,IF(COUNTIF(Config!$F$5:$G$5,$K85)&gt;0,1,0))</f>
        <v/>
      </c>
      <c r="P85" s="1">
        <f>IF($E85="",0,IF(VATON=1,$E85*N($F85),0))</f>
        <v/>
      </c>
      <c r="Q85" s="1">
        <f>IF($O85=0,0,N($G85))</f>
        <v/>
      </c>
      <c r="R85" s="68">
        <f>IF($O85=0,"",MAX($J85,START))</f>
        <v/>
      </c>
      <c r="S85" s="1">
        <f>IF($O85=0,0,N($G85)*(1-IF($C85=SCN_CUSTOMER,LOSS_RATE,0)))</f>
        <v/>
      </c>
      <c r="T85" s="1" t="n"/>
    </row>
    <row r="86" ht="17" customHeight="1">
      <c r="A86" s="1" t="n"/>
      <c r="B86" s="69" t="n">
        <v>78</v>
      </c>
      <c r="C86" s="70" t="n"/>
      <c r="D86" s="70" t="n"/>
      <c r="E86" s="71" t="n"/>
      <c r="F86" s="72" t="n"/>
      <c r="G86" s="64">
        <f>IF($E86="","",$E86*(1+IF(VATON=1,N($F86),0)))</f>
        <v/>
      </c>
      <c r="H86" s="73" t="n"/>
      <c r="I86" s="74" t="n"/>
      <c r="J86" s="67">
        <f>IF($H86="","",$H86+N($I86))</f>
        <v/>
      </c>
      <c r="K86" s="74" t="n"/>
      <c r="L86" s="67">
        <f>IF($O86=0,"",MAX($J86,START)+DELAY_ALL+IF($C86=SCN_CUSTOMER,DELAY_CUSTOMER,0))</f>
        <v/>
      </c>
      <c r="M86" s="64">
        <f>IF($O86=0,"",$S86)</f>
        <v/>
      </c>
      <c r="N86" s="1" t="n"/>
      <c r="O86" s="1">
        <f>IF($K86="",0,IF(COUNTIF(Config!$F$5:$G$5,$K86)&gt;0,1,0))</f>
        <v/>
      </c>
      <c r="P86" s="1">
        <f>IF($E86="",0,IF(VATON=1,$E86*N($F86),0))</f>
        <v/>
      </c>
      <c r="Q86" s="1">
        <f>IF($O86=0,0,N($G86))</f>
        <v/>
      </c>
      <c r="R86" s="68">
        <f>IF($O86=0,"",MAX($J86,START))</f>
        <v/>
      </c>
      <c r="S86" s="1">
        <f>IF($O86=0,0,N($G86)*(1-IF($C86=SCN_CUSTOMER,LOSS_RATE,0)))</f>
        <v/>
      </c>
      <c r="T86" s="1" t="n"/>
    </row>
    <row r="87" ht="17" customHeight="1">
      <c r="A87" s="1" t="n"/>
      <c r="B87" s="60" t="n">
        <v>79</v>
      </c>
      <c r="C87" s="61" t="n"/>
      <c r="D87" s="61" t="n"/>
      <c r="E87" s="62" t="n"/>
      <c r="F87" s="63" t="n"/>
      <c r="G87" s="64">
        <f>IF($E87="","",$E87*(1+IF(VATON=1,N($F87),0)))</f>
        <v/>
      </c>
      <c r="H87" s="65" t="n"/>
      <c r="I87" s="66" t="n"/>
      <c r="J87" s="67">
        <f>IF($H87="","",$H87+N($I87))</f>
        <v/>
      </c>
      <c r="K87" s="66" t="n"/>
      <c r="L87" s="67">
        <f>IF($O87=0,"",MAX($J87,START)+DELAY_ALL+IF($C87=SCN_CUSTOMER,DELAY_CUSTOMER,0))</f>
        <v/>
      </c>
      <c r="M87" s="64">
        <f>IF($O87=0,"",$S87)</f>
        <v/>
      </c>
      <c r="N87" s="1" t="n"/>
      <c r="O87" s="1">
        <f>IF($K87="",0,IF(COUNTIF(Config!$F$5:$G$5,$K87)&gt;0,1,0))</f>
        <v/>
      </c>
      <c r="P87" s="1">
        <f>IF($E87="",0,IF(VATON=1,$E87*N($F87),0))</f>
        <v/>
      </c>
      <c r="Q87" s="1">
        <f>IF($O87=0,0,N($G87))</f>
        <v/>
      </c>
      <c r="R87" s="68">
        <f>IF($O87=0,"",MAX($J87,START))</f>
        <v/>
      </c>
      <c r="S87" s="1">
        <f>IF($O87=0,0,N($G87)*(1-IF($C87=SCN_CUSTOMER,LOSS_RATE,0)))</f>
        <v/>
      </c>
      <c r="T87" s="1" t="n"/>
    </row>
    <row r="88" ht="17" customHeight="1">
      <c r="A88" s="1" t="n"/>
      <c r="B88" s="69" t="n">
        <v>80</v>
      </c>
      <c r="C88" s="70" t="n"/>
      <c r="D88" s="70" t="n"/>
      <c r="E88" s="71" t="n"/>
      <c r="F88" s="72" t="n"/>
      <c r="G88" s="64">
        <f>IF($E88="","",$E88*(1+IF(VATON=1,N($F88),0)))</f>
        <v/>
      </c>
      <c r="H88" s="73" t="n"/>
      <c r="I88" s="74" t="n"/>
      <c r="J88" s="67">
        <f>IF($H88="","",$H88+N($I88))</f>
        <v/>
      </c>
      <c r="K88" s="74" t="n"/>
      <c r="L88" s="67">
        <f>IF($O88=0,"",MAX($J88,START)+DELAY_ALL+IF($C88=SCN_CUSTOMER,DELAY_CUSTOMER,0))</f>
        <v/>
      </c>
      <c r="M88" s="64">
        <f>IF($O88=0,"",$S88)</f>
        <v/>
      </c>
      <c r="N88" s="1" t="n"/>
      <c r="O88" s="1">
        <f>IF($K88="",0,IF(COUNTIF(Config!$F$5:$G$5,$K88)&gt;0,1,0))</f>
        <v/>
      </c>
      <c r="P88" s="1">
        <f>IF($E88="",0,IF(VATON=1,$E88*N($F88),0))</f>
        <v/>
      </c>
      <c r="Q88" s="1">
        <f>IF($O88=0,0,N($G88))</f>
        <v/>
      </c>
      <c r="R88" s="68">
        <f>IF($O88=0,"",MAX($J88,START))</f>
        <v/>
      </c>
      <c r="S88" s="1">
        <f>IF($O88=0,0,N($G88)*(1-IF($C88=SCN_CUSTOMER,LOSS_RATE,0)))</f>
        <v/>
      </c>
      <c r="T88" s="1" t="n"/>
    </row>
    <row r="89" ht="17" customHeight="1">
      <c r="A89" s="1" t="n"/>
      <c r="B89" s="60" t="n">
        <v>81</v>
      </c>
      <c r="C89" s="61" t="n"/>
      <c r="D89" s="61" t="n"/>
      <c r="E89" s="62" t="n"/>
      <c r="F89" s="63" t="n"/>
      <c r="G89" s="64">
        <f>IF($E89="","",$E89*(1+IF(VATON=1,N($F89),0)))</f>
        <v/>
      </c>
      <c r="H89" s="65" t="n"/>
      <c r="I89" s="66" t="n"/>
      <c r="J89" s="67">
        <f>IF($H89="","",$H89+N($I89))</f>
        <v/>
      </c>
      <c r="K89" s="66" t="n"/>
      <c r="L89" s="67">
        <f>IF($O89=0,"",MAX($J89,START)+DELAY_ALL+IF($C89=SCN_CUSTOMER,DELAY_CUSTOMER,0))</f>
        <v/>
      </c>
      <c r="M89" s="64">
        <f>IF($O89=0,"",$S89)</f>
        <v/>
      </c>
      <c r="N89" s="1" t="n"/>
      <c r="O89" s="1">
        <f>IF($K89="",0,IF(COUNTIF(Config!$F$5:$G$5,$K89)&gt;0,1,0))</f>
        <v/>
      </c>
      <c r="P89" s="1">
        <f>IF($E89="",0,IF(VATON=1,$E89*N($F89),0))</f>
        <v/>
      </c>
      <c r="Q89" s="1">
        <f>IF($O89=0,0,N($G89))</f>
        <v/>
      </c>
      <c r="R89" s="68">
        <f>IF($O89=0,"",MAX($J89,START))</f>
        <v/>
      </c>
      <c r="S89" s="1">
        <f>IF($O89=0,0,N($G89)*(1-IF($C89=SCN_CUSTOMER,LOSS_RATE,0)))</f>
        <v/>
      </c>
      <c r="T89" s="1" t="n"/>
    </row>
    <row r="90" ht="17" customHeight="1">
      <c r="A90" s="1" t="n"/>
      <c r="B90" s="69" t="n">
        <v>82</v>
      </c>
      <c r="C90" s="70" t="n"/>
      <c r="D90" s="70" t="n"/>
      <c r="E90" s="71" t="n"/>
      <c r="F90" s="72" t="n"/>
      <c r="G90" s="64">
        <f>IF($E90="","",$E90*(1+IF(VATON=1,N($F90),0)))</f>
        <v/>
      </c>
      <c r="H90" s="73" t="n"/>
      <c r="I90" s="74" t="n"/>
      <c r="J90" s="67">
        <f>IF($H90="","",$H90+N($I90))</f>
        <v/>
      </c>
      <c r="K90" s="74" t="n"/>
      <c r="L90" s="67">
        <f>IF($O90=0,"",MAX($J90,START)+DELAY_ALL+IF($C90=SCN_CUSTOMER,DELAY_CUSTOMER,0))</f>
        <v/>
      </c>
      <c r="M90" s="64">
        <f>IF($O90=0,"",$S90)</f>
        <v/>
      </c>
      <c r="N90" s="1" t="n"/>
      <c r="O90" s="1">
        <f>IF($K90="",0,IF(COUNTIF(Config!$F$5:$G$5,$K90)&gt;0,1,0))</f>
        <v/>
      </c>
      <c r="P90" s="1">
        <f>IF($E90="",0,IF(VATON=1,$E90*N($F90),0))</f>
        <v/>
      </c>
      <c r="Q90" s="1">
        <f>IF($O90=0,0,N($G90))</f>
        <v/>
      </c>
      <c r="R90" s="68">
        <f>IF($O90=0,"",MAX($J90,START))</f>
        <v/>
      </c>
      <c r="S90" s="1">
        <f>IF($O90=0,0,N($G90)*(1-IF($C90=SCN_CUSTOMER,LOSS_RATE,0)))</f>
        <v/>
      </c>
      <c r="T90" s="1" t="n"/>
    </row>
    <row r="91" ht="17" customHeight="1">
      <c r="A91" s="1" t="n"/>
      <c r="B91" s="60" t="n">
        <v>83</v>
      </c>
      <c r="C91" s="61" t="n"/>
      <c r="D91" s="61" t="n"/>
      <c r="E91" s="62" t="n"/>
      <c r="F91" s="63" t="n"/>
      <c r="G91" s="64">
        <f>IF($E91="","",$E91*(1+IF(VATON=1,N($F91),0)))</f>
        <v/>
      </c>
      <c r="H91" s="65" t="n"/>
      <c r="I91" s="66" t="n"/>
      <c r="J91" s="67">
        <f>IF($H91="","",$H91+N($I91))</f>
        <v/>
      </c>
      <c r="K91" s="66" t="n"/>
      <c r="L91" s="67">
        <f>IF($O91=0,"",MAX($J91,START)+DELAY_ALL+IF($C91=SCN_CUSTOMER,DELAY_CUSTOMER,0))</f>
        <v/>
      </c>
      <c r="M91" s="64">
        <f>IF($O91=0,"",$S91)</f>
        <v/>
      </c>
      <c r="N91" s="1" t="n"/>
      <c r="O91" s="1">
        <f>IF($K91="",0,IF(COUNTIF(Config!$F$5:$G$5,$K91)&gt;0,1,0))</f>
        <v/>
      </c>
      <c r="P91" s="1">
        <f>IF($E91="",0,IF(VATON=1,$E91*N($F91),0))</f>
        <v/>
      </c>
      <c r="Q91" s="1">
        <f>IF($O91=0,0,N($G91))</f>
        <v/>
      </c>
      <c r="R91" s="68">
        <f>IF($O91=0,"",MAX($J91,START))</f>
        <v/>
      </c>
      <c r="S91" s="1">
        <f>IF($O91=0,0,N($G91)*(1-IF($C91=SCN_CUSTOMER,LOSS_RATE,0)))</f>
        <v/>
      </c>
      <c r="T91" s="1" t="n"/>
    </row>
    <row r="92" ht="17" customHeight="1">
      <c r="A92" s="1" t="n"/>
      <c r="B92" s="69" t="n">
        <v>84</v>
      </c>
      <c r="C92" s="70" t="n"/>
      <c r="D92" s="70" t="n"/>
      <c r="E92" s="71" t="n"/>
      <c r="F92" s="72" t="n"/>
      <c r="G92" s="64">
        <f>IF($E92="","",$E92*(1+IF(VATON=1,N($F92),0)))</f>
        <v/>
      </c>
      <c r="H92" s="73" t="n"/>
      <c r="I92" s="74" t="n"/>
      <c r="J92" s="67">
        <f>IF($H92="","",$H92+N($I92))</f>
        <v/>
      </c>
      <c r="K92" s="74" t="n"/>
      <c r="L92" s="67">
        <f>IF($O92=0,"",MAX($J92,START)+DELAY_ALL+IF($C92=SCN_CUSTOMER,DELAY_CUSTOMER,0))</f>
        <v/>
      </c>
      <c r="M92" s="64">
        <f>IF($O92=0,"",$S92)</f>
        <v/>
      </c>
      <c r="N92" s="1" t="n"/>
      <c r="O92" s="1">
        <f>IF($K92="",0,IF(COUNTIF(Config!$F$5:$G$5,$K92)&gt;0,1,0))</f>
        <v/>
      </c>
      <c r="P92" s="1">
        <f>IF($E92="",0,IF(VATON=1,$E92*N($F92),0))</f>
        <v/>
      </c>
      <c r="Q92" s="1">
        <f>IF($O92=0,0,N($G92))</f>
        <v/>
      </c>
      <c r="R92" s="68">
        <f>IF($O92=0,"",MAX($J92,START))</f>
        <v/>
      </c>
      <c r="S92" s="1">
        <f>IF($O92=0,0,N($G92)*(1-IF($C92=SCN_CUSTOMER,LOSS_RATE,0)))</f>
        <v/>
      </c>
      <c r="T92" s="1" t="n"/>
    </row>
    <row r="93" ht="17" customHeight="1">
      <c r="A93" s="1" t="n"/>
      <c r="B93" s="60" t="n">
        <v>85</v>
      </c>
      <c r="C93" s="61" t="n"/>
      <c r="D93" s="61" t="n"/>
      <c r="E93" s="62" t="n"/>
      <c r="F93" s="63" t="n"/>
      <c r="G93" s="64">
        <f>IF($E93="","",$E93*(1+IF(VATON=1,N($F93),0)))</f>
        <v/>
      </c>
      <c r="H93" s="65" t="n"/>
      <c r="I93" s="66" t="n"/>
      <c r="J93" s="67">
        <f>IF($H93="","",$H93+N($I93))</f>
        <v/>
      </c>
      <c r="K93" s="66" t="n"/>
      <c r="L93" s="67">
        <f>IF($O93=0,"",MAX($J93,START)+DELAY_ALL+IF($C93=SCN_CUSTOMER,DELAY_CUSTOMER,0))</f>
        <v/>
      </c>
      <c r="M93" s="64">
        <f>IF($O93=0,"",$S93)</f>
        <v/>
      </c>
      <c r="N93" s="1" t="n"/>
      <c r="O93" s="1">
        <f>IF($K93="",0,IF(COUNTIF(Config!$F$5:$G$5,$K93)&gt;0,1,0))</f>
        <v/>
      </c>
      <c r="P93" s="1">
        <f>IF($E93="",0,IF(VATON=1,$E93*N($F93),0))</f>
        <v/>
      </c>
      <c r="Q93" s="1">
        <f>IF($O93=0,0,N($G93))</f>
        <v/>
      </c>
      <c r="R93" s="68">
        <f>IF($O93=0,"",MAX($J93,START))</f>
        <v/>
      </c>
      <c r="S93" s="1">
        <f>IF($O93=0,0,N($G93)*(1-IF($C93=SCN_CUSTOMER,LOSS_RATE,0)))</f>
        <v/>
      </c>
      <c r="T93" s="1" t="n"/>
    </row>
    <row r="94" ht="17" customHeight="1">
      <c r="A94" s="1" t="n"/>
      <c r="B94" s="69" t="n">
        <v>86</v>
      </c>
      <c r="C94" s="70" t="n"/>
      <c r="D94" s="70" t="n"/>
      <c r="E94" s="71" t="n"/>
      <c r="F94" s="72" t="n"/>
      <c r="G94" s="64">
        <f>IF($E94="","",$E94*(1+IF(VATON=1,N($F94),0)))</f>
        <v/>
      </c>
      <c r="H94" s="73" t="n"/>
      <c r="I94" s="74" t="n"/>
      <c r="J94" s="67">
        <f>IF($H94="","",$H94+N($I94))</f>
        <v/>
      </c>
      <c r="K94" s="74" t="n"/>
      <c r="L94" s="67">
        <f>IF($O94=0,"",MAX($J94,START)+DELAY_ALL+IF($C94=SCN_CUSTOMER,DELAY_CUSTOMER,0))</f>
        <v/>
      </c>
      <c r="M94" s="64">
        <f>IF($O94=0,"",$S94)</f>
        <v/>
      </c>
      <c r="N94" s="1" t="n"/>
      <c r="O94" s="1">
        <f>IF($K94="",0,IF(COUNTIF(Config!$F$5:$G$5,$K94)&gt;0,1,0))</f>
        <v/>
      </c>
      <c r="P94" s="1">
        <f>IF($E94="",0,IF(VATON=1,$E94*N($F94),0))</f>
        <v/>
      </c>
      <c r="Q94" s="1">
        <f>IF($O94=0,0,N($G94))</f>
        <v/>
      </c>
      <c r="R94" s="68">
        <f>IF($O94=0,"",MAX($J94,START))</f>
        <v/>
      </c>
      <c r="S94" s="1">
        <f>IF($O94=0,0,N($G94)*(1-IF($C94=SCN_CUSTOMER,LOSS_RATE,0)))</f>
        <v/>
      </c>
      <c r="T94" s="1" t="n"/>
    </row>
    <row r="95" ht="17" customHeight="1">
      <c r="A95" s="1" t="n"/>
      <c r="B95" s="60" t="n">
        <v>87</v>
      </c>
      <c r="C95" s="61" t="n"/>
      <c r="D95" s="61" t="n"/>
      <c r="E95" s="62" t="n"/>
      <c r="F95" s="63" t="n"/>
      <c r="G95" s="64">
        <f>IF($E95="","",$E95*(1+IF(VATON=1,N($F95),0)))</f>
        <v/>
      </c>
      <c r="H95" s="65" t="n"/>
      <c r="I95" s="66" t="n"/>
      <c r="J95" s="67">
        <f>IF($H95="","",$H95+N($I95))</f>
        <v/>
      </c>
      <c r="K95" s="66" t="n"/>
      <c r="L95" s="67">
        <f>IF($O95=0,"",MAX($J95,START)+DELAY_ALL+IF($C95=SCN_CUSTOMER,DELAY_CUSTOMER,0))</f>
        <v/>
      </c>
      <c r="M95" s="64">
        <f>IF($O95=0,"",$S95)</f>
        <v/>
      </c>
      <c r="N95" s="1" t="n"/>
      <c r="O95" s="1">
        <f>IF($K95="",0,IF(COUNTIF(Config!$F$5:$G$5,$K95)&gt;0,1,0))</f>
        <v/>
      </c>
      <c r="P95" s="1">
        <f>IF($E95="",0,IF(VATON=1,$E95*N($F95),0))</f>
        <v/>
      </c>
      <c r="Q95" s="1">
        <f>IF($O95=0,0,N($G95))</f>
        <v/>
      </c>
      <c r="R95" s="68">
        <f>IF($O95=0,"",MAX($J95,START))</f>
        <v/>
      </c>
      <c r="S95" s="1">
        <f>IF($O95=0,0,N($G95)*(1-IF($C95=SCN_CUSTOMER,LOSS_RATE,0)))</f>
        <v/>
      </c>
      <c r="T95" s="1" t="n"/>
    </row>
    <row r="96" ht="17" customHeight="1">
      <c r="A96" s="1" t="n"/>
      <c r="B96" s="69" t="n">
        <v>88</v>
      </c>
      <c r="C96" s="70" t="n"/>
      <c r="D96" s="70" t="n"/>
      <c r="E96" s="71" t="n"/>
      <c r="F96" s="72" t="n"/>
      <c r="G96" s="64">
        <f>IF($E96="","",$E96*(1+IF(VATON=1,N($F96),0)))</f>
        <v/>
      </c>
      <c r="H96" s="73" t="n"/>
      <c r="I96" s="74" t="n"/>
      <c r="J96" s="67">
        <f>IF($H96="","",$H96+N($I96))</f>
        <v/>
      </c>
      <c r="K96" s="74" t="n"/>
      <c r="L96" s="67">
        <f>IF($O96=0,"",MAX($J96,START)+DELAY_ALL+IF($C96=SCN_CUSTOMER,DELAY_CUSTOMER,0))</f>
        <v/>
      </c>
      <c r="M96" s="64">
        <f>IF($O96=0,"",$S96)</f>
        <v/>
      </c>
      <c r="N96" s="1" t="n"/>
      <c r="O96" s="1">
        <f>IF($K96="",0,IF(COUNTIF(Config!$F$5:$G$5,$K96)&gt;0,1,0))</f>
        <v/>
      </c>
      <c r="P96" s="1">
        <f>IF($E96="",0,IF(VATON=1,$E96*N($F96),0))</f>
        <v/>
      </c>
      <c r="Q96" s="1">
        <f>IF($O96=0,0,N($G96))</f>
        <v/>
      </c>
      <c r="R96" s="68">
        <f>IF($O96=0,"",MAX($J96,START))</f>
        <v/>
      </c>
      <c r="S96" s="1">
        <f>IF($O96=0,0,N($G96)*(1-IF($C96=SCN_CUSTOMER,LOSS_RATE,0)))</f>
        <v/>
      </c>
      <c r="T96" s="1" t="n"/>
    </row>
    <row r="97" ht="17" customHeight="1">
      <c r="A97" s="1" t="n"/>
      <c r="B97" s="60" t="n">
        <v>89</v>
      </c>
      <c r="C97" s="61" t="n"/>
      <c r="D97" s="61" t="n"/>
      <c r="E97" s="62" t="n"/>
      <c r="F97" s="63" t="n"/>
      <c r="G97" s="64">
        <f>IF($E97="","",$E97*(1+IF(VATON=1,N($F97),0)))</f>
        <v/>
      </c>
      <c r="H97" s="65" t="n"/>
      <c r="I97" s="66" t="n"/>
      <c r="J97" s="67">
        <f>IF($H97="","",$H97+N($I97))</f>
        <v/>
      </c>
      <c r="K97" s="66" t="n"/>
      <c r="L97" s="67">
        <f>IF($O97=0,"",MAX($J97,START)+DELAY_ALL+IF($C97=SCN_CUSTOMER,DELAY_CUSTOMER,0))</f>
        <v/>
      </c>
      <c r="M97" s="64">
        <f>IF($O97=0,"",$S97)</f>
        <v/>
      </c>
      <c r="N97" s="1" t="n"/>
      <c r="O97" s="1">
        <f>IF($K97="",0,IF(COUNTIF(Config!$F$5:$G$5,$K97)&gt;0,1,0))</f>
        <v/>
      </c>
      <c r="P97" s="1">
        <f>IF($E97="",0,IF(VATON=1,$E97*N($F97),0))</f>
        <v/>
      </c>
      <c r="Q97" s="1">
        <f>IF($O97=0,0,N($G97))</f>
        <v/>
      </c>
      <c r="R97" s="68">
        <f>IF($O97=0,"",MAX($J97,START))</f>
        <v/>
      </c>
      <c r="S97" s="1">
        <f>IF($O97=0,0,N($G97)*(1-IF($C97=SCN_CUSTOMER,LOSS_RATE,0)))</f>
        <v/>
      </c>
      <c r="T97" s="1" t="n"/>
    </row>
    <row r="98" ht="17" customHeight="1">
      <c r="A98" s="1" t="n"/>
      <c r="B98" s="69" t="n">
        <v>90</v>
      </c>
      <c r="C98" s="70" t="n"/>
      <c r="D98" s="70" t="n"/>
      <c r="E98" s="71" t="n"/>
      <c r="F98" s="72" t="n"/>
      <c r="G98" s="64">
        <f>IF($E98="","",$E98*(1+IF(VATON=1,N($F98),0)))</f>
        <v/>
      </c>
      <c r="H98" s="73" t="n"/>
      <c r="I98" s="74" t="n"/>
      <c r="J98" s="67">
        <f>IF($H98="","",$H98+N($I98))</f>
        <v/>
      </c>
      <c r="K98" s="74" t="n"/>
      <c r="L98" s="67">
        <f>IF($O98=0,"",MAX($J98,START)+DELAY_ALL+IF($C98=SCN_CUSTOMER,DELAY_CUSTOMER,0))</f>
        <v/>
      </c>
      <c r="M98" s="64">
        <f>IF($O98=0,"",$S98)</f>
        <v/>
      </c>
      <c r="N98" s="1" t="n"/>
      <c r="O98" s="1">
        <f>IF($K98="",0,IF(COUNTIF(Config!$F$5:$G$5,$K98)&gt;0,1,0))</f>
        <v/>
      </c>
      <c r="P98" s="1">
        <f>IF($E98="",0,IF(VATON=1,$E98*N($F98),0))</f>
        <v/>
      </c>
      <c r="Q98" s="1">
        <f>IF($O98=0,0,N($G98))</f>
        <v/>
      </c>
      <c r="R98" s="68">
        <f>IF($O98=0,"",MAX($J98,START))</f>
        <v/>
      </c>
      <c r="S98" s="1">
        <f>IF($O98=0,0,N($G98)*(1-IF($C98=SCN_CUSTOMER,LOSS_RATE,0)))</f>
        <v/>
      </c>
      <c r="T98" s="1" t="n"/>
    </row>
    <row r="99" ht="17" customHeight="1">
      <c r="A99" s="1" t="n"/>
      <c r="B99" s="60" t="n">
        <v>91</v>
      </c>
      <c r="C99" s="61" t="n"/>
      <c r="D99" s="61" t="n"/>
      <c r="E99" s="62" t="n"/>
      <c r="F99" s="63" t="n"/>
      <c r="G99" s="64">
        <f>IF($E99="","",$E99*(1+IF(VATON=1,N($F99),0)))</f>
        <v/>
      </c>
      <c r="H99" s="65" t="n"/>
      <c r="I99" s="66" t="n"/>
      <c r="J99" s="67">
        <f>IF($H99="","",$H99+N($I99))</f>
        <v/>
      </c>
      <c r="K99" s="66" t="n"/>
      <c r="L99" s="67">
        <f>IF($O99=0,"",MAX($J99,START)+DELAY_ALL+IF($C99=SCN_CUSTOMER,DELAY_CUSTOMER,0))</f>
        <v/>
      </c>
      <c r="M99" s="64">
        <f>IF($O99=0,"",$S99)</f>
        <v/>
      </c>
      <c r="N99" s="1" t="n"/>
      <c r="O99" s="1">
        <f>IF($K99="",0,IF(COUNTIF(Config!$F$5:$G$5,$K99)&gt;0,1,0))</f>
        <v/>
      </c>
      <c r="P99" s="1">
        <f>IF($E99="",0,IF(VATON=1,$E99*N($F99),0))</f>
        <v/>
      </c>
      <c r="Q99" s="1">
        <f>IF($O99=0,0,N($G99))</f>
        <v/>
      </c>
      <c r="R99" s="68">
        <f>IF($O99=0,"",MAX($J99,START))</f>
        <v/>
      </c>
      <c r="S99" s="1">
        <f>IF($O99=0,0,N($G99)*(1-IF($C99=SCN_CUSTOMER,LOSS_RATE,0)))</f>
        <v/>
      </c>
      <c r="T99" s="1" t="n"/>
    </row>
    <row r="100" ht="17" customHeight="1">
      <c r="A100" s="1" t="n"/>
      <c r="B100" s="69" t="n">
        <v>92</v>
      </c>
      <c r="C100" s="70" t="n"/>
      <c r="D100" s="70" t="n"/>
      <c r="E100" s="71" t="n"/>
      <c r="F100" s="72" t="n"/>
      <c r="G100" s="64">
        <f>IF($E100="","",$E100*(1+IF(VATON=1,N($F100),0)))</f>
        <v/>
      </c>
      <c r="H100" s="73" t="n"/>
      <c r="I100" s="74" t="n"/>
      <c r="J100" s="67">
        <f>IF($H100="","",$H100+N($I100))</f>
        <v/>
      </c>
      <c r="K100" s="74" t="n"/>
      <c r="L100" s="67">
        <f>IF($O100=0,"",MAX($J100,START)+DELAY_ALL+IF($C100=SCN_CUSTOMER,DELAY_CUSTOMER,0))</f>
        <v/>
      </c>
      <c r="M100" s="64">
        <f>IF($O100=0,"",$S100)</f>
        <v/>
      </c>
      <c r="N100" s="1" t="n"/>
      <c r="O100" s="1">
        <f>IF($K100="",0,IF(COUNTIF(Config!$F$5:$G$5,$K100)&gt;0,1,0))</f>
        <v/>
      </c>
      <c r="P100" s="1">
        <f>IF($E100="",0,IF(VATON=1,$E100*N($F100),0))</f>
        <v/>
      </c>
      <c r="Q100" s="1">
        <f>IF($O100=0,0,N($G100))</f>
        <v/>
      </c>
      <c r="R100" s="68">
        <f>IF($O100=0,"",MAX($J100,START))</f>
        <v/>
      </c>
      <c r="S100" s="1">
        <f>IF($O100=0,0,N($G100)*(1-IF($C100=SCN_CUSTOMER,LOSS_RATE,0)))</f>
        <v/>
      </c>
      <c r="T100" s="1" t="n"/>
    </row>
    <row r="101" ht="17" customHeight="1">
      <c r="A101" s="1" t="n"/>
      <c r="B101" s="60" t="n">
        <v>93</v>
      </c>
      <c r="C101" s="61" t="n"/>
      <c r="D101" s="61" t="n"/>
      <c r="E101" s="62" t="n"/>
      <c r="F101" s="63" t="n"/>
      <c r="G101" s="64">
        <f>IF($E101="","",$E101*(1+IF(VATON=1,N($F101),0)))</f>
        <v/>
      </c>
      <c r="H101" s="65" t="n"/>
      <c r="I101" s="66" t="n"/>
      <c r="J101" s="67">
        <f>IF($H101="","",$H101+N($I101))</f>
        <v/>
      </c>
      <c r="K101" s="66" t="n"/>
      <c r="L101" s="67">
        <f>IF($O101=0,"",MAX($J101,START)+DELAY_ALL+IF($C101=SCN_CUSTOMER,DELAY_CUSTOMER,0))</f>
        <v/>
      </c>
      <c r="M101" s="64">
        <f>IF($O101=0,"",$S101)</f>
        <v/>
      </c>
      <c r="N101" s="1" t="n"/>
      <c r="O101" s="1">
        <f>IF($K101="",0,IF(COUNTIF(Config!$F$5:$G$5,$K101)&gt;0,1,0))</f>
        <v/>
      </c>
      <c r="P101" s="1">
        <f>IF($E101="",0,IF(VATON=1,$E101*N($F101),0))</f>
        <v/>
      </c>
      <c r="Q101" s="1">
        <f>IF($O101=0,0,N($G101))</f>
        <v/>
      </c>
      <c r="R101" s="68">
        <f>IF($O101=0,"",MAX($J101,START))</f>
        <v/>
      </c>
      <c r="S101" s="1">
        <f>IF($O101=0,0,N($G101)*(1-IF($C101=SCN_CUSTOMER,LOSS_RATE,0)))</f>
        <v/>
      </c>
      <c r="T101" s="1" t="n"/>
    </row>
    <row r="102" ht="17" customHeight="1">
      <c r="A102" s="1" t="n"/>
      <c r="B102" s="69" t="n">
        <v>94</v>
      </c>
      <c r="C102" s="70" t="n"/>
      <c r="D102" s="70" t="n"/>
      <c r="E102" s="71" t="n"/>
      <c r="F102" s="72" t="n"/>
      <c r="G102" s="64">
        <f>IF($E102="","",$E102*(1+IF(VATON=1,N($F102),0)))</f>
        <v/>
      </c>
      <c r="H102" s="73" t="n"/>
      <c r="I102" s="74" t="n"/>
      <c r="J102" s="67">
        <f>IF($H102="","",$H102+N($I102))</f>
        <v/>
      </c>
      <c r="K102" s="74" t="n"/>
      <c r="L102" s="67">
        <f>IF($O102=0,"",MAX($J102,START)+DELAY_ALL+IF($C102=SCN_CUSTOMER,DELAY_CUSTOMER,0))</f>
        <v/>
      </c>
      <c r="M102" s="64">
        <f>IF($O102=0,"",$S102)</f>
        <v/>
      </c>
      <c r="N102" s="1" t="n"/>
      <c r="O102" s="1">
        <f>IF($K102="",0,IF(COUNTIF(Config!$F$5:$G$5,$K102)&gt;0,1,0))</f>
        <v/>
      </c>
      <c r="P102" s="1">
        <f>IF($E102="",0,IF(VATON=1,$E102*N($F102),0))</f>
        <v/>
      </c>
      <c r="Q102" s="1">
        <f>IF($O102=0,0,N($G102))</f>
        <v/>
      </c>
      <c r="R102" s="68">
        <f>IF($O102=0,"",MAX($J102,START))</f>
        <v/>
      </c>
      <c r="S102" s="1">
        <f>IF($O102=0,0,N($G102)*(1-IF($C102=SCN_CUSTOMER,LOSS_RATE,0)))</f>
        <v/>
      </c>
      <c r="T102" s="1" t="n"/>
    </row>
    <row r="103" ht="17" customHeight="1">
      <c r="A103" s="1" t="n"/>
      <c r="B103" s="60" t="n">
        <v>95</v>
      </c>
      <c r="C103" s="61" t="n"/>
      <c r="D103" s="61" t="n"/>
      <c r="E103" s="62" t="n"/>
      <c r="F103" s="63" t="n"/>
      <c r="G103" s="64">
        <f>IF($E103="","",$E103*(1+IF(VATON=1,N($F103),0)))</f>
        <v/>
      </c>
      <c r="H103" s="65" t="n"/>
      <c r="I103" s="66" t="n"/>
      <c r="J103" s="67">
        <f>IF($H103="","",$H103+N($I103))</f>
        <v/>
      </c>
      <c r="K103" s="66" t="n"/>
      <c r="L103" s="67">
        <f>IF($O103=0,"",MAX($J103,START)+DELAY_ALL+IF($C103=SCN_CUSTOMER,DELAY_CUSTOMER,0))</f>
        <v/>
      </c>
      <c r="M103" s="64">
        <f>IF($O103=0,"",$S103)</f>
        <v/>
      </c>
      <c r="N103" s="1" t="n"/>
      <c r="O103" s="1">
        <f>IF($K103="",0,IF(COUNTIF(Config!$F$5:$G$5,$K103)&gt;0,1,0))</f>
        <v/>
      </c>
      <c r="P103" s="1">
        <f>IF($E103="",0,IF(VATON=1,$E103*N($F103),0))</f>
        <v/>
      </c>
      <c r="Q103" s="1">
        <f>IF($O103=0,0,N($G103))</f>
        <v/>
      </c>
      <c r="R103" s="68">
        <f>IF($O103=0,"",MAX($J103,START))</f>
        <v/>
      </c>
      <c r="S103" s="1">
        <f>IF($O103=0,0,N($G103)*(1-IF($C103=SCN_CUSTOMER,LOSS_RATE,0)))</f>
        <v/>
      </c>
      <c r="T103" s="1" t="n"/>
    </row>
    <row r="104" ht="17" customHeight="1">
      <c r="A104" s="1" t="n"/>
      <c r="B104" s="69" t="n">
        <v>96</v>
      </c>
      <c r="C104" s="70" t="n"/>
      <c r="D104" s="70" t="n"/>
      <c r="E104" s="71" t="n"/>
      <c r="F104" s="72" t="n"/>
      <c r="G104" s="64">
        <f>IF($E104="","",$E104*(1+IF(VATON=1,N($F104),0)))</f>
        <v/>
      </c>
      <c r="H104" s="73" t="n"/>
      <c r="I104" s="74" t="n"/>
      <c r="J104" s="67">
        <f>IF($H104="","",$H104+N($I104))</f>
        <v/>
      </c>
      <c r="K104" s="74" t="n"/>
      <c r="L104" s="67">
        <f>IF($O104=0,"",MAX($J104,START)+DELAY_ALL+IF($C104=SCN_CUSTOMER,DELAY_CUSTOMER,0))</f>
        <v/>
      </c>
      <c r="M104" s="64">
        <f>IF($O104=0,"",$S104)</f>
        <v/>
      </c>
      <c r="N104" s="1" t="n"/>
      <c r="O104" s="1">
        <f>IF($K104="",0,IF(COUNTIF(Config!$F$5:$G$5,$K104)&gt;0,1,0))</f>
        <v/>
      </c>
      <c r="P104" s="1">
        <f>IF($E104="",0,IF(VATON=1,$E104*N($F104),0))</f>
        <v/>
      </c>
      <c r="Q104" s="1">
        <f>IF($O104=0,0,N($G104))</f>
        <v/>
      </c>
      <c r="R104" s="68">
        <f>IF($O104=0,"",MAX($J104,START))</f>
        <v/>
      </c>
      <c r="S104" s="1">
        <f>IF($O104=0,0,N($G104)*(1-IF($C104=SCN_CUSTOMER,LOSS_RATE,0)))</f>
        <v/>
      </c>
      <c r="T104" s="1" t="n"/>
    </row>
    <row r="105" ht="17" customHeight="1">
      <c r="A105" s="1" t="n"/>
      <c r="B105" s="60" t="n">
        <v>97</v>
      </c>
      <c r="C105" s="61" t="n"/>
      <c r="D105" s="61" t="n"/>
      <c r="E105" s="62" t="n"/>
      <c r="F105" s="63" t="n"/>
      <c r="G105" s="64">
        <f>IF($E105="","",$E105*(1+IF(VATON=1,N($F105),0)))</f>
        <v/>
      </c>
      <c r="H105" s="65" t="n"/>
      <c r="I105" s="66" t="n"/>
      <c r="J105" s="67">
        <f>IF($H105="","",$H105+N($I105))</f>
        <v/>
      </c>
      <c r="K105" s="66" t="n"/>
      <c r="L105" s="67">
        <f>IF($O105=0,"",MAX($J105,START)+DELAY_ALL+IF($C105=SCN_CUSTOMER,DELAY_CUSTOMER,0))</f>
        <v/>
      </c>
      <c r="M105" s="64">
        <f>IF($O105=0,"",$S105)</f>
        <v/>
      </c>
      <c r="N105" s="1" t="n"/>
      <c r="O105" s="1">
        <f>IF($K105="",0,IF(COUNTIF(Config!$F$5:$G$5,$K105)&gt;0,1,0))</f>
        <v/>
      </c>
      <c r="P105" s="1">
        <f>IF($E105="",0,IF(VATON=1,$E105*N($F105),0))</f>
        <v/>
      </c>
      <c r="Q105" s="1">
        <f>IF($O105=0,0,N($G105))</f>
        <v/>
      </c>
      <c r="R105" s="68">
        <f>IF($O105=0,"",MAX($J105,START))</f>
        <v/>
      </c>
      <c r="S105" s="1">
        <f>IF($O105=0,0,N($G105)*(1-IF($C105=SCN_CUSTOMER,LOSS_RATE,0)))</f>
        <v/>
      </c>
      <c r="T105" s="1" t="n"/>
    </row>
    <row r="106" ht="17" customHeight="1">
      <c r="A106" s="1" t="n"/>
      <c r="B106" s="69" t="n">
        <v>98</v>
      </c>
      <c r="C106" s="70" t="n"/>
      <c r="D106" s="70" t="n"/>
      <c r="E106" s="71" t="n"/>
      <c r="F106" s="72" t="n"/>
      <c r="G106" s="64">
        <f>IF($E106="","",$E106*(1+IF(VATON=1,N($F106),0)))</f>
        <v/>
      </c>
      <c r="H106" s="73" t="n"/>
      <c r="I106" s="74" t="n"/>
      <c r="J106" s="67">
        <f>IF($H106="","",$H106+N($I106))</f>
        <v/>
      </c>
      <c r="K106" s="74" t="n"/>
      <c r="L106" s="67">
        <f>IF($O106=0,"",MAX($J106,START)+DELAY_ALL+IF($C106=SCN_CUSTOMER,DELAY_CUSTOMER,0))</f>
        <v/>
      </c>
      <c r="M106" s="64">
        <f>IF($O106=0,"",$S106)</f>
        <v/>
      </c>
      <c r="N106" s="1" t="n"/>
      <c r="O106" s="1">
        <f>IF($K106="",0,IF(COUNTIF(Config!$F$5:$G$5,$K106)&gt;0,1,0))</f>
        <v/>
      </c>
      <c r="P106" s="1">
        <f>IF($E106="",0,IF(VATON=1,$E106*N($F106),0))</f>
        <v/>
      </c>
      <c r="Q106" s="1">
        <f>IF($O106=0,0,N($G106))</f>
        <v/>
      </c>
      <c r="R106" s="68">
        <f>IF($O106=0,"",MAX($J106,START))</f>
        <v/>
      </c>
      <c r="S106" s="1">
        <f>IF($O106=0,0,N($G106)*(1-IF($C106=SCN_CUSTOMER,LOSS_RATE,0)))</f>
        <v/>
      </c>
      <c r="T106" s="1" t="n"/>
    </row>
    <row r="107" ht="17" customHeight="1">
      <c r="A107" s="1" t="n"/>
      <c r="B107" s="60" t="n">
        <v>99</v>
      </c>
      <c r="C107" s="61" t="n"/>
      <c r="D107" s="61" t="n"/>
      <c r="E107" s="62" t="n"/>
      <c r="F107" s="63" t="n"/>
      <c r="G107" s="64">
        <f>IF($E107="","",$E107*(1+IF(VATON=1,N($F107),0)))</f>
        <v/>
      </c>
      <c r="H107" s="65" t="n"/>
      <c r="I107" s="66" t="n"/>
      <c r="J107" s="67">
        <f>IF($H107="","",$H107+N($I107))</f>
        <v/>
      </c>
      <c r="K107" s="66" t="n"/>
      <c r="L107" s="67">
        <f>IF($O107=0,"",MAX($J107,START)+DELAY_ALL+IF($C107=SCN_CUSTOMER,DELAY_CUSTOMER,0))</f>
        <v/>
      </c>
      <c r="M107" s="64">
        <f>IF($O107=0,"",$S107)</f>
        <v/>
      </c>
      <c r="N107" s="1" t="n"/>
      <c r="O107" s="1">
        <f>IF($K107="",0,IF(COUNTIF(Config!$F$5:$G$5,$K107)&gt;0,1,0))</f>
        <v/>
      </c>
      <c r="P107" s="1">
        <f>IF($E107="",0,IF(VATON=1,$E107*N($F107),0))</f>
        <v/>
      </c>
      <c r="Q107" s="1">
        <f>IF($O107=0,0,N($G107))</f>
        <v/>
      </c>
      <c r="R107" s="68">
        <f>IF($O107=0,"",MAX($J107,START))</f>
        <v/>
      </c>
      <c r="S107" s="1">
        <f>IF($O107=0,0,N($G107)*(1-IF($C107=SCN_CUSTOMER,LOSS_RATE,0)))</f>
        <v/>
      </c>
      <c r="T107" s="1" t="n"/>
    </row>
    <row r="108" ht="17" customHeight="1">
      <c r="A108" s="1" t="n"/>
      <c r="B108" s="69" t="n">
        <v>100</v>
      </c>
      <c r="C108" s="70" t="n"/>
      <c r="D108" s="70" t="n"/>
      <c r="E108" s="71" t="n"/>
      <c r="F108" s="72" t="n"/>
      <c r="G108" s="64">
        <f>IF($E108="","",$E108*(1+IF(VATON=1,N($F108),0)))</f>
        <v/>
      </c>
      <c r="H108" s="73" t="n"/>
      <c r="I108" s="74" t="n"/>
      <c r="J108" s="67">
        <f>IF($H108="","",$H108+N($I108))</f>
        <v/>
      </c>
      <c r="K108" s="74" t="n"/>
      <c r="L108" s="67">
        <f>IF($O108=0,"",MAX($J108,START)+DELAY_ALL+IF($C108=SCN_CUSTOMER,DELAY_CUSTOMER,0))</f>
        <v/>
      </c>
      <c r="M108" s="64">
        <f>IF($O108=0,"",$S108)</f>
        <v/>
      </c>
      <c r="N108" s="1" t="n"/>
      <c r="O108" s="1">
        <f>IF($K108="",0,IF(COUNTIF(Config!$F$5:$G$5,$K108)&gt;0,1,0))</f>
        <v/>
      </c>
      <c r="P108" s="1">
        <f>IF($E108="",0,IF(VATON=1,$E108*N($F108),0))</f>
        <v/>
      </c>
      <c r="Q108" s="1">
        <f>IF($O108=0,0,N($G108))</f>
        <v/>
      </c>
      <c r="R108" s="68">
        <f>IF($O108=0,"",MAX($J108,START))</f>
        <v/>
      </c>
      <c r="S108" s="1">
        <f>IF($O108=0,0,N($G108)*(1-IF($C108=SCN_CUSTOMER,LOSS_RATE,0)))</f>
        <v/>
      </c>
      <c r="T108" s="1" t="n"/>
    </row>
    <row r="109" ht="24" customHeight="1">
      <c r="A109" s="1" t="n"/>
      <c r="B109" s="75">
        <f>INDEX(Config!$B$6:$C$104,MATCH("inv.total",Config!$A$6:$A$104,0),LANG)</f>
        <v/>
      </c>
      <c r="C109" s="38" t="n"/>
      <c r="D109" s="38" t="n"/>
      <c r="E109" s="38" t="n"/>
      <c r="F109" s="38" t="n"/>
      <c r="G109" s="76">
        <f>SUM($Q$9:$Q$108)</f>
        <v/>
      </c>
      <c r="H109" s="77" t="n"/>
      <c r="I109" s="77" t="n"/>
      <c r="J109" s="77" t="n"/>
      <c r="K109" s="77" t="n"/>
      <c r="L109" s="78">
        <f>SUM($S$9:$S$108)</f>
        <v/>
      </c>
      <c r="M109" s="79" t="n"/>
      <c r="N109" s="1" t="n"/>
      <c r="O109" s="1" t="n"/>
      <c r="P109" s="1" t="n"/>
      <c r="Q109" s="1" t="n"/>
      <c r="R109" s="1" t="n"/>
      <c r="S109" s="1" t="n"/>
      <c r="T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</row>
    <row r="111">
      <c r="A111" s="1" t="n"/>
      <c r="B111" s="80">
        <f>INDEX(Config!$B$6:$C$104,MATCH("inv.scnnote",Config!$A$6:$A$104,0),LANG)</f>
        <v/>
      </c>
      <c r="N111" s="1" t="n"/>
      <c r="O111" s="1" t="n"/>
      <c r="P111" s="1" t="n"/>
      <c r="Q111" s="1" t="n"/>
      <c r="R111" s="1" t="n"/>
      <c r="S111" s="1" t="n"/>
      <c r="T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</row>
  </sheetData>
  <mergeCells count="7">
    <mergeCell ref="B111:M111"/>
    <mergeCell ref="B7:M7"/>
    <mergeCell ref="B6:F6"/>
    <mergeCell ref="B109:F109"/>
    <mergeCell ref="L109:M109"/>
    <mergeCell ref="B3:I3"/>
    <mergeCell ref="B4:I4"/>
  </mergeCells>
  <conditionalFormatting sqref="B9:M108">
    <cfRule type="expression" priority="1" dxfId="15">
      <formula>AND($O9=1,$J9&lt;&gt;"",$J9&lt;TODAY())</formula>
    </cfRule>
  </conditionalFormatting>
  <conditionalFormatting sqref="E9:E109">
    <cfRule type="expression" priority="2" dxfId="16">
      <formula>LANG=2</formula>
    </cfRule>
  </conditionalFormatting>
  <conditionalFormatting sqref="G9:G109">
    <cfRule type="expression" priority="3" dxfId="17">
      <formula>LANG=2</formula>
    </cfRule>
  </conditionalFormatting>
  <conditionalFormatting sqref="M9:M109">
    <cfRule type="expression" priority="4" dxfId="18">
      <formula>LANG=2</formula>
    </cfRule>
  </conditionalFormatting>
  <conditionalFormatting sqref="H9:H108">
    <cfRule type="expression" priority="5" dxfId="19">
      <formula>LANG=2</formula>
    </cfRule>
  </conditionalFormatting>
  <conditionalFormatting sqref="J9:J108">
    <cfRule type="expression" priority="6" dxfId="20">
      <formula>LANG=2</formula>
    </cfRule>
  </conditionalFormatting>
  <conditionalFormatting sqref="L9:L108">
    <cfRule type="expression" priority="7" dxfId="21">
      <formula>LANG=2</formula>
    </cfRule>
  </conditionalFormatting>
  <dataValidations count="3">
    <dataValidation sqref="K9:K108" showDropDown="0" showInputMessage="0" showErrorMessage="0" allowBlank="1" type="list">
      <formula1>Config!$H$5:$H$6</formula1>
    </dataValidation>
    <dataValidation sqref="I9:I108" showDropDown="0" showInputMessage="0" showErrorMessage="0" allowBlank="1" type="whole" operator="between">
      <formula1>0</formula1>
      <formula2>365</formula2>
    </dataValidation>
    <dataValidation sqref="F9:F108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7F8C"/>
    <outlinePr summaryBelow="1" summaryRight="1"/>
    <pageSetUpPr/>
  </sheetPr>
  <dimension ref="A1:H69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24" customWidth="1" min="3" max="3"/>
    <col width="17" customWidth="1" min="4" max="4"/>
    <col width="20" customWidth="1" min="5" max="5"/>
    <col width="2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10" customHeight="1">
      <c r="A2" s="1" t="n"/>
      <c r="B2" s="2" t="n"/>
      <c r="C2" s="2" t="n"/>
      <c r="D2" s="2" t="n"/>
      <c r="E2" s="2" t="n"/>
      <c r="F2" s="1" t="n"/>
      <c r="G2" s="1" t="n"/>
      <c r="H2" s="1" t="n"/>
    </row>
    <row r="3" ht="26" customHeight="1">
      <c r="A3" s="1" t="n"/>
      <c r="B3" s="4">
        <f>INDEX(Config!$B$6:$C$104,MATCH("app.title",Config!$A$6:$A$104,0),LANG)</f>
        <v/>
      </c>
      <c r="F3" s="1" t="n"/>
      <c r="G3" s="1" t="n"/>
      <c r="H3" s="1" t="n"/>
    </row>
    <row r="4" ht="16" customHeight="1">
      <c r="A4" s="1" t="n"/>
      <c r="B4" s="8">
        <f>INDEX(Config!$B$6:$C$104,MATCH("cost.title",Config!$A$6:$A$104,0),LANG)</f>
        <v/>
      </c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20" customHeight="1">
      <c r="A6" s="1" t="n"/>
      <c r="B6" s="24">
        <f>INDEX(Config!$B$6:$C$104,MATCH("cost.fixed",Config!$A$6:$A$104,0),LANG)</f>
        <v/>
      </c>
      <c r="F6" s="1" t="n"/>
      <c r="G6" s="1" t="n"/>
      <c r="H6" s="1" t="n"/>
    </row>
    <row r="7" ht="16" customHeight="1">
      <c r="A7" s="1" t="n"/>
      <c r="B7" s="58">
        <f>INDEX(Config!$B$6:$C$104,MATCH("cost.fixed.hint",Config!$A$6:$A$104,0),LANG)</f>
        <v/>
      </c>
      <c r="F7" s="1" t="n"/>
      <c r="G7" s="1" t="n"/>
      <c r="H7" s="1" t="n"/>
    </row>
    <row r="8" ht="24" customHeight="1">
      <c r="A8" s="1" t="n"/>
      <c r="B8" s="59">
        <f>INDEX(Config!$B$6:$C$104,MATCH("cost.h.name",Config!$A$6:$A$104,0),LANG)</f>
        <v/>
      </c>
      <c r="C8" s="59">
        <f>INDEX(Config!$B$6:$C$104,MATCH("cost.h.cat",Config!$A$6:$A$104,0),LANG)</f>
        <v/>
      </c>
      <c r="D8" s="59">
        <f>INDEX(Config!$B$6:$C$104,MATCH("cost.h.month",Config!$A$6:$A$104,0),LANG)</f>
        <v/>
      </c>
      <c r="E8" s="59">
        <f>INDEX(Config!$B$6:$C$104,MATCH("cost.h.day",Config!$A$6:$A$104,0),LANG)</f>
        <v/>
      </c>
      <c r="F8" s="1" t="n"/>
      <c r="G8" s="1" t="n"/>
      <c r="H8" s="1" t="n"/>
    </row>
    <row r="9" ht="17" customHeight="1">
      <c r="A9" s="1" t="n"/>
      <c r="B9" s="61" t="inlineStr">
        <is>
          <t>Miete Büro / Office rent</t>
        </is>
      </c>
      <c r="C9" s="61" t="inlineStr">
        <is>
          <t>Raumkosten / Premises</t>
        </is>
      </c>
      <c r="D9" s="62" t="n">
        <v>850</v>
      </c>
      <c r="E9" s="81" t="n">
        <v>1</v>
      </c>
      <c r="F9" s="1" t="n"/>
      <c r="G9" s="1" t="n"/>
      <c r="H9" s="1" t="n"/>
    </row>
    <row r="10" ht="17" customHeight="1">
      <c r="A10" s="1" t="n"/>
      <c r="B10" s="70" t="inlineStr">
        <is>
          <t>Krankenversicherung / Health insurance</t>
        </is>
      </c>
      <c r="C10" s="70" t="inlineStr">
        <is>
          <t>Vorsorge / Insurance</t>
        </is>
      </c>
      <c r="D10" s="71" t="n">
        <v>780</v>
      </c>
      <c r="E10" s="82" t="n">
        <v>1</v>
      </c>
      <c r="F10" s="1" t="n"/>
      <c r="G10" s="1" t="n"/>
      <c r="H10" s="1" t="n"/>
    </row>
    <row r="11" ht="17" customHeight="1">
      <c r="A11" s="1" t="n"/>
      <c r="B11" s="61" t="inlineStr">
        <is>
          <t>Altersvorsorge / Pension plan</t>
        </is>
      </c>
      <c r="C11" s="61" t="inlineStr">
        <is>
          <t>Vorsorge / Insurance</t>
        </is>
      </c>
      <c r="D11" s="62" t="n">
        <v>300</v>
      </c>
      <c r="E11" s="81" t="n">
        <v>1</v>
      </c>
      <c r="F11" s="1" t="n"/>
      <c r="G11" s="1" t="n"/>
      <c r="H11" s="1" t="n"/>
    </row>
    <row r="12" ht="17" customHeight="1">
      <c r="A12" s="1" t="n"/>
      <c r="B12" s="70" t="inlineStr">
        <is>
          <t>Leasing Fahrzeug / Car leasing</t>
        </is>
      </c>
      <c r="C12" s="70" t="inlineStr">
        <is>
          <t>Fahrzeug / Vehicle</t>
        </is>
      </c>
      <c r="D12" s="71" t="n">
        <v>320</v>
      </c>
      <c r="E12" s="82" t="n">
        <v>5</v>
      </c>
      <c r="F12" s="1" t="n"/>
      <c r="G12" s="1" t="n"/>
      <c r="H12" s="1" t="n"/>
    </row>
    <row r="13" ht="17" customHeight="1">
      <c r="A13" s="1" t="n"/>
      <c r="B13" s="61" t="inlineStr">
        <is>
          <t>Software-Abos / Software subscriptions</t>
        </is>
      </c>
      <c r="C13" s="61" t="inlineStr">
        <is>
          <t>IT / IT</t>
        </is>
      </c>
      <c r="D13" s="62" t="n">
        <v>165</v>
      </c>
      <c r="E13" s="81" t="n">
        <v>10</v>
      </c>
      <c r="F13" s="1" t="n"/>
      <c r="G13" s="1" t="n"/>
      <c r="H13" s="1" t="n"/>
    </row>
    <row r="14" ht="17" customHeight="1">
      <c r="A14" s="1" t="n"/>
      <c r="B14" s="70" t="inlineStr">
        <is>
          <t>Betriebshaftpflicht / Liability cover</t>
        </is>
      </c>
      <c r="C14" s="70" t="inlineStr">
        <is>
          <t>Vorsorge / Insurance</t>
        </is>
      </c>
      <c r="D14" s="71" t="n">
        <v>95</v>
      </c>
      <c r="E14" s="82" t="n">
        <v>12</v>
      </c>
      <c r="F14" s="1" t="n"/>
      <c r="G14" s="1" t="n"/>
      <c r="H14" s="1" t="n"/>
    </row>
    <row r="15" ht="17" customHeight="1">
      <c r="A15" s="1" t="n"/>
      <c r="B15" s="61" t="inlineStr">
        <is>
          <t>Telefon &amp; Internet / Phone &amp; internet</t>
        </is>
      </c>
      <c r="C15" s="61" t="inlineStr">
        <is>
          <t>IT / IT</t>
        </is>
      </c>
      <c r="D15" s="62" t="n">
        <v>75</v>
      </c>
      <c r="E15" s="81" t="n">
        <v>15</v>
      </c>
      <c r="F15" s="1" t="n"/>
      <c r="G15" s="1" t="n"/>
      <c r="H15" s="1" t="n"/>
    </row>
    <row r="16" ht="17" customHeight="1">
      <c r="A16" s="1" t="n"/>
      <c r="B16" s="70" t="inlineStr">
        <is>
          <t>Steuerberatung / Tax adviser</t>
        </is>
      </c>
      <c r="C16" s="70" t="inlineStr">
        <is>
          <t>Beratung / Advisory</t>
        </is>
      </c>
      <c r="D16" s="71" t="n">
        <v>180</v>
      </c>
      <c r="E16" s="82" t="n">
        <v>20</v>
      </c>
      <c r="F16" s="1" t="n"/>
      <c r="G16" s="1" t="n"/>
      <c r="H16" s="1" t="n"/>
    </row>
    <row r="17" ht="17" customHeight="1">
      <c r="A17" s="1" t="n"/>
      <c r="B17" s="61" t="inlineStr">
        <is>
          <t>Buchhaltungstool / Accounting tool</t>
        </is>
      </c>
      <c r="C17" s="61" t="inlineStr">
        <is>
          <t>IT / IT</t>
        </is>
      </c>
      <c r="D17" s="62" t="n">
        <v>39</v>
      </c>
      <c r="E17" s="81" t="n">
        <v>25</v>
      </c>
      <c r="F17" s="1" t="n"/>
      <c r="G17" s="1" t="n"/>
      <c r="H17" s="1" t="n"/>
    </row>
    <row r="18" ht="17" customHeight="1">
      <c r="A18" s="1" t="n"/>
      <c r="B18" s="70" t="n"/>
      <c r="C18" s="70" t="n"/>
      <c r="D18" s="71" t="n"/>
      <c r="E18" s="82" t="n"/>
      <c r="F18" s="1" t="n"/>
      <c r="G18" s="1" t="n"/>
      <c r="H18" s="1" t="n"/>
    </row>
    <row r="19" ht="17" customHeight="1">
      <c r="A19" s="1" t="n"/>
      <c r="B19" s="61" t="n"/>
      <c r="C19" s="61" t="n"/>
      <c r="D19" s="62" t="n"/>
      <c r="E19" s="81" t="n"/>
      <c r="F19" s="1" t="n"/>
      <c r="G19" s="1" t="n"/>
      <c r="H19" s="1" t="n"/>
    </row>
    <row r="20" ht="17" customHeight="1">
      <c r="A20" s="1" t="n"/>
      <c r="B20" s="70" t="n"/>
      <c r="C20" s="70" t="n"/>
      <c r="D20" s="71" t="n"/>
      <c r="E20" s="82" t="n"/>
      <c r="F20" s="1" t="n"/>
      <c r="G20" s="1" t="n"/>
      <c r="H20" s="1" t="n"/>
    </row>
    <row r="21" ht="17" customHeight="1">
      <c r="A21" s="1" t="n"/>
      <c r="B21" s="61" t="n"/>
      <c r="C21" s="61" t="n"/>
      <c r="D21" s="62" t="n"/>
      <c r="E21" s="81" t="n"/>
      <c r="F21" s="1" t="n"/>
      <c r="G21" s="1" t="n"/>
      <c r="H21" s="1" t="n"/>
    </row>
    <row r="22" ht="17" customHeight="1">
      <c r="A22" s="1" t="n"/>
      <c r="B22" s="70" t="n"/>
      <c r="C22" s="70" t="n"/>
      <c r="D22" s="71" t="n"/>
      <c r="E22" s="82" t="n"/>
      <c r="F22" s="1" t="n"/>
      <c r="G22" s="1" t="n"/>
      <c r="H22" s="1" t="n"/>
    </row>
    <row r="23" ht="17" customHeight="1">
      <c r="A23" s="1" t="n"/>
      <c r="B23" s="61" t="n"/>
      <c r="C23" s="61" t="n"/>
      <c r="D23" s="62" t="n"/>
      <c r="E23" s="81" t="n"/>
      <c r="F23" s="1" t="n"/>
      <c r="G23" s="1" t="n"/>
      <c r="H23" s="1" t="n"/>
    </row>
    <row r="24" ht="17" customHeight="1">
      <c r="A24" s="1" t="n"/>
      <c r="B24" s="70" t="n"/>
      <c r="C24" s="70" t="n"/>
      <c r="D24" s="71" t="n"/>
      <c r="E24" s="82" t="n"/>
      <c r="F24" s="1" t="n"/>
      <c r="G24" s="1" t="n"/>
      <c r="H24" s="1" t="n"/>
    </row>
    <row r="25" ht="17" customHeight="1">
      <c r="A25" s="1" t="n"/>
      <c r="B25" s="61" t="n"/>
      <c r="C25" s="61" t="n"/>
      <c r="D25" s="62" t="n"/>
      <c r="E25" s="81" t="n"/>
      <c r="F25" s="1" t="n"/>
      <c r="G25" s="1" t="n"/>
      <c r="H25" s="1" t="n"/>
    </row>
    <row r="26" ht="17" customHeight="1">
      <c r="A26" s="1" t="n"/>
      <c r="B26" s="70" t="n"/>
      <c r="C26" s="70" t="n"/>
      <c r="D26" s="71" t="n"/>
      <c r="E26" s="82" t="n"/>
      <c r="F26" s="1" t="n"/>
      <c r="G26" s="1" t="n"/>
      <c r="H26" s="1" t="n"/>
    </row>
    <row r="27" ht="17" customHeight="1">
      <c r="A27" s="1" t="n"/>
      <c r="B27" s="61" t="n"/>
      <c r="C27" s="61" t="n"/>
      <c r="D27" s="62" t="n"/>
      <c r="E27" s="81" t="n"/>
      <c r="F27" s="1" t="n"/>
      <c r="G27" s="1" t="n"/>
      <c r="H27" s="1" t="n"/>
    </row>
    <row r="28" ht="17" customHeight="1">
      <c r="A28" s="1" t="n"/>
      <c r="B28" s="70" t="n"/>
      <c r="C28" s="70" t="n"/>
      <c r="D28" s="71" t="n"/>
      <c r="E28" s="82" t="n"/>
      <c r="F28" s="1" t="n"/>
      <c r="G28" s="1" t="n"/>
      <c r="H28" s="1" t="n"/>
    </row>
    <row r="29" ht="24" customHeight="1">
      <c r="A29" s="1" t="n"/>
      <c r="B29" s="75">
        <f>INDEX(Config!$B$6:$C$104,MATCH("cost.sum.fixed",Config!$A$6:$A$104,0),LANG)</f>
        <v/>
      </c>
      <c r="C29" s="38" t="n"/>
      <c r="D29" s="76">
        <f>SUM(D9:D28)</f>
        <v/>
      </c>
      <c r="E29" s="83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20" customHeight="1">
      <c r="A31" s="1" t="n"/>
      <c r="B31" s="24">
        <f>INDEX(Config!$B$6:$C$104,MATCH("cost.var",Config!$A$6:$A$104,0),LANG)</f>
        <v/>
      </c>
      <c r="F31" s="1" t="n"/>
      <c r="G31" s="1" t="n"/>
      <c r="H31" s="1" t="n"/>
    </row>
    <row r="32" ht="16" customHeight="1">
      <c r="A32" s="1" t="n"/>
      <c r="B32" s="58">
        <f>INDEX(Config!$B$6:$C$104,MATCH("cost.var.hint",Config!$A$6:$A$104,0),LANG)</f>
        <v/>
      </c>
      <c r="F32" s="1" t="n"/>
      <c r="G32" s="1" t="n"/>
      <c r="H32" s="1" t="n"/>
    </row>
    <row r="33" ht="24" customHeight="1">
      <c r="A33" s="1" t="n"/>
      <c r="B33" s="59">
        <f>INDEX(Config!$B$6:$C$104,MATCH("cost.h.name",Config!$A$6:$A$104,0),LANG)</f>
        <v/>
      </c>
      <c r="C33" s="59">
        <f>INDEX(Config!$B$6:$C$104,MATCH("cost.h.cat",Config!$A$6:$A$104,0),LANG)</f>
        <v/>
      </c>
      <c r="D33" s="59">
        <f>INDEX(Config!$B$6:$C$104,MATCH("cost.h.amount",Config!$A$6:$A$104,0),LANG)</f>
        <v/>
      </c>
      <c r="E33" s="59">
        <f>INDEX(Config!$B$6:$C$104,MATCH("cost.h.date",Config!$A$6:$A$104,0),LANG)</f>
        <v/>
      </c>
      <c r="F33" s="1" t="n"/>
      <c r="G33" s="1" t="n"/>
      <c r="H33" s="1" t="n"/>
    </row>
    <row r="34" ht="17" customHeight="1">
      <c r="A34" s="1" t="n"/>
      <c r="B34" s="61" t="inlineStr">
        <is>
          <t>Reisekosten Kundentermin / Client travel</t>
        </is>
      </c>
      <c r="C34" s="61" t="inlineStr">
        <is>
          <t>Reisen / Travel</t>
        </is>
      </c>
      <c r="D34" s="62" t="n">
        <v>430</v>
      </c>
      <c r="E34" s="84">
        <f>TODAY()+9</f>
        <v/>
      </c>
      <c r="F34" s="1" t="n"/>
      <c r="G34" s="1" t="n"/>
      <c r="H34" s="1" t="n"/>
    </row>
    <row r="35" ht="17" customHeight="1">
      <c r="A35" s="1" t="n"/>
      <c r="B35" s="70" t="inlineStr">
        <is>
          <t>Steuervorauszahlung / Tax prepayment</t>
        </is>
      </c>
      <c r="C35" s="70" t="inlineStr">
        <is>
          <t>Steuern / Taxes</t>
        </is>
      </c>
      <c r="D35" s="71" t="n">
        <v>3200</v>
      </c>
      <c r="E35" s="85">
        <f>TODAY()+12</f>
        <v/>
      </c>
      <c r="F35" s="1" t="n"/>
      <c r="G35" s="1" t="n"/>
      <c r="H35" s="1" t="n"/>
    </row>
    <row r="36" ht="17" customHeight="1">
      <c r="A36" s="1" t="n"/>
      <c r="B36" s="61" t="inlineStr">
        <is>
          <t>Weiterbildung Seminar / Training seminar</t>
        </is>
      </c>
      <c r="C36" s="61" t="inlineStr">
        <is>
          <t>Personal / People</t>
        </is>
      </c>
      <c r="D36" s="62" t="n">
        <v>890</v>
      </c>
      <c r="E36" s="84">
        <f>TODAY()+17</f>
        <v/>
      </c>
      <c r="F36" s="1" t="n"/>
      <c r="G36" s="1" t="n"/>
      <c r="H36" s="1" t="n"/>
    </row>
    <row r="37" ht="17" customHeight="1">
      <c r="A37" s="1" t="n"/>
      <c r="B37" s="70" t="inlineStr">
        <is>
          <t>Neue Hardware / New hardware</t>
        </is>
      </c>
      <c r="C37" s="70" t="inlineStr">
        <is>
          <t>IT / IT</t>
        </is>
      </c>
      <c r="D37" s="71" t="n">
        <v>1950</v>
      </c>
      <c r="E37" s="85">
        <f>TODAY()+26</f>
        <v/>
      </c>
      <c r="F37" s="1" t="n"/>
      <c r="G37" s="1" t="n"/>
      <c r="H37" s="1" t="n"/>
    </row>
    <row r="38" ht="17" customHeight="1">
      <c r="A38" s="1" t="n"/>
      <c r="B38" s="61" t="inlineStr">
        <is>
          <t>Marketing-Kampagne / Marketing campaign</t>
        </is>
      </c>
      <c r="C38" s="61" t="inlineStr">
        <is>
          <t>Marketing / Marketing</t>
        </is>
      </c>
      <c r="D38" s="62" t="n">
        <v>1250</v>
      </c>
      <c r="E38" s="84">
        <f>TODAY()+38</f>
        <v/>
      </c>
      <c r="F38" s="1" t="n"/>
      <c r="G38" s="1" t="n"/>
      <c r="H38" s="1" t="n"/>
    </row>
    <row r="39" ht="17" customHeight="1">
      <c r="A39" s="1" t="n"/>
      <c r="B39" s="70" t="inlineStr">
        <is>
          <t>Messeauftritt / Trade fair booth</t>
        </is>
      </c>
      <c r="C39" s="70" t="inlineStr">
        <is>
          <t>Marketing / Marketing</t>
        </is>
      </c>
      <c r="D39" s="71" t="n">
        <v>2650</v>
      </c>
      <c r="E39" s="85">
        <f>TODAY()+58</f>
        <v/>
      </c>
      <c r="F39" s="1" t="n"/>
      <c r="G39" s="1" t="n"/>
      <c r="H39" s="1" t="n"/>
    </row>
    <row r="40" ht="17" customHeight="1">
      <c r="A40" s="1" t="n"/>
      <c r="B40" s="61" t="n"/>
      <c r="C40" s="61" t="n"/>
      <c r="D40" s="62" t="n"/>
      <c r="E40" s="84" t="n"/>
      <c r="F40" s="1" t="n"/>
      <c r="G40" s="1" t="n"/>
      <c r="H40" s="1" t="n"/>
    </row>
    <row r="41" ht="17" customHeight="1">
      <c r="A41" s="1" t="n"/>
      <c r="B41" s="70" t="n"/>
      <c r="C41" s="70" t="n"/>
      <c r="D41" s="71" t="n"/>
      <c r="E41" s="85" t="n"/>
      <c r="F41" s="1" t="n"/>
      <c r="G41" s="1" t="n"/>
      <c r="H41" s="1" t="n"/>
    </row>
    <row r="42" ht="17" customHeight="1">
      <c r="A42" s="1" t="n"/>
      <c r="B42" s="61" t="n"/>
      <c r="C42" s="61" t="n"/>
      <c r="D42" s="62" t="n"/>
      <c r="E42" s="84" t="n"/>
      <c r="F42" s="1" t="n"/>
      <c r="G42" s="1" t="n"/>
      <c r="H42" s="1" t="n"/>
    </row>
    <row r="43" ht="17" customHeight="1">
      <c r="A43" s="1" t="n"/>
      <c r="B43" s="70" t="n"/>
      <c r="C43" s="70" t="n"/>
      <c r="D43" s="71" t="n"/>
      <c r="E43" s="85" t="n"/>
      <c r="F43" s="1" t="n"/>
      <c r="G43" s="1" t="n"/>
      <c r="H43" s="1" t="n"/>
    </row>
    <row r="44" ht="17" customHeight="1">
      <c r="A44" s="1" t="n"/>
      <c r="B44" s="61" t="n"/>
      <c r="C44" s="61" t="n"/>
      <c r="D44" s="62" t="n"/>
      <c r="E44" s="84" t="n"/>
      <c r="F44" s="1" t="n"/>
      <c r="G44" s="1" t="n"/>
      <c r="H44" s="1" t="n"/>
    </row>
    <row r="45" ht="17" customHeight="1">
      <c r="A45" s="1" t="n"/>
      <c r="B45" s="70" t="n"/>
      <c r="C45" s="70" t="n"/>
      <c r="D45" s="71" t="n"/>
      <c r="E45" s="85" t="n"/>
      <c r="F45" s="1" t="n"/>
      <c r="G45" s="1" t="n"/>
      <c r="H45" s="1" t="n"/>
    </row>
    <row r="46" ht="17" customHeight="1">
      <c r="A46" s="1" t="n"/>
      <c r="B46" s="61" t="n"/>
      <c r="C46" s="61" t="n"/>
      <c r="D46" s="62" t="n"/>
      <c r="E46" s="84" t="n"/>
      <c r="F46" s="1" t="n"/>
      <c r="G46" s="1" t="n"/>
      <c r="H46" s="1" t="n"/>
    </row>
    <row r="47" ht="17" customHeight="1">
      <c r="A47" s="1" t="n"/>
      <c r="B47" s="70" t="n"/>
      <c r="C47" s="70" t="n"/>
      <c r="D47" s="71" t="n"/>
      <c r="E47" s="85" t="n"/>
      <c r="F47" s="1" t="n"/>
      <c r="G47" s="1" t="n"/>
      <c r="H47" s="1" t="n"/>
    </row>
    <row r="48" ht="17" customHeight="1">
      <c r="A48" s="1" t="n"/>
      <c r="B48" s="61" t="n"/>
      <c r="C48" s="61" t="n"/>
      <c r="D48" s="62" t="n"/>
      <c r="E48" s="84" t="n"/>
      <c r="F48" s="1" t="n"/>
      <c r="G48" s="1" t="n"/>
      <c r="H48" s="1" t="n"/>
    </row>
    <row r="49" ht="17" customHeight="1">
      <c r="A49" s="1" t="n"/>
      <c r="B49" s="70" t="n"/>
      <c r="C49" s="70" t="n"/>
      <c r="D49" s="71" t="n"/>
      <c r="E49" s="85" t="n"/>
      <c r="F49" s="1" t="n"/>
      <c r="G49" s="1" t="n"/>
      <c r="H49" s="1" t="n"/>
    </row>
    <row r="50" ht="17" customHeight="1">
      <c r="A50" s="1" t="n"/>
      <c r="B50" s="61" t="n"/>
      <c r="C50" s="61" t="n"/>
      <c r="D50" s="62" t="n"/>
      <c r="E50" s="84" t="n"/>
      <c r="F50" s="1" t="n"/>
      <c r="G50" s="1" t="n"/>
      <c r="H50" s="1" t="n"/>
    </row>
    <row r="51" ht="17" customHeight="1">
      <c r="A51" s="1" t="n"/>
      <c r="B51" s="70" t="n"/>
      <c r="C51" s="70" t="n"/>
      <c r="D51" s="71" t="n"/>
      <c r="E51" s="85" t="n"/>
      <c r="F51" s="1" t="n"/>
      <c r="G51" s="1" t="n"/>
      <c r="H51" s="1" t="n"/>
    </row>
    <row r="52" ht="17" customHeight="1">
      <c r="A52" s="1" t="n"/>
      <c r="B52" s="61" t="n"/>
      <c r="C52" s="61" t="n"/>
      <c r="D52" s="62" t="n"/>
      <c r="E52" s="84" t="n"/>
      <c r="F52" s="1" t="n"/>
      <c r="G52" s="1" t="n"/>
      <c r="H52" s="1" t="n"/>
    </row>
    <row r="53" ht="17" customHeight="1">
      <c r="A53" s="1" t="n"/>
      <c r="B53" s="70" t="n"/>
      <c r="C53" s="70" t="n"/>
      <c r="D53" s="71" t="n"/>
      <c r="E53" s="85" t="n"/>
      <c r="F53" s="1" t="n"/>
      <c r="G53" s="1" t="n"/>
      <c r="H53" s="1" t="n"/>
    </row>
    <row r="54" ht="17" customHeight="1">
      <c r="A54" s="1" t="n"/>
      <c r="B54" s="61" t="n"/>
      <c r="C54" s="61" t="n"/>
      <c r="D54" s="62" t="n"/>
      <c r="E54" s="84" t="n"/>
      <c r="F54" s="1" t="n"/>
      <c r="G54" s="1" t="n"/>
      <c r="H54" s="1" t="n"/>
    </row>
    <row r="55" ht="17" customHeight="1">
      <c r="A55" s="1" t="n"/>
      <c r="B55" s="70" t="n"/>
      <c r="C55" s="70" t="n"/>
      <c r="D55" s="71" t="n"/>
      <c r="E55" s="85" t="n"/>
      <c r="F55" s="1" t="n"/>
      <c r="G55" s="1" t="n"/>
      <c r="H55" s="1" t="n"/>
    </row>
    <row r="56" ht="17" customHeight="1">
      <c r="A56" s="1" t="n"/>
      <c r="B56" s="61" t="n"/>
      <c r="C56" s="61" t="n"/>
      <c r="D56" s="62" t="n"/>
      <c r="E56" s="84" t="n"/>
      <c r="F56" s="1" t="n"/>
      <c r="G56" s="1" t="n"/>
      <c r="H56" s="1" t="n"/>
    </row>
    <row r="57" ht="17" customHeight="1">
      <c r="A57" s="1" t="n"/>
      <c r="B57" s="70" t="n"/>
      <c r="C57" s="70" t="n"/>
      <c r="D57" s="71" t="n"/>
      <c r="E57" s="85" t="n"/>
      <c r="F57" s="1" t="n"/>
      <c r="G57" s="1" t="n"/>
      <c r="H57" s="1" t="n"/>
    </row>
    <row r="58" ht="17" customHeight="1">
      <c r="A58" s="1" t="n"/>
      <c r="B58" s="61" t="n"/>
      <c r="C58" s="61" t="n"/>
      <c r="D58" s="62" t="n"/>
      <c r="E58" s="84" t="n"/>
      <c r="F58" s="1" t="n"/>
      <c r="G58" s="1" t="n"/>
      <c r="H58" s="1" t="n"/>
    </row>
    <row r="59" ht="17" customHeight="1">
      <c r="A59" s="1" t="n"/>
      <c r="B59" s="70" t="n"/>
      <c r="C59" s="70" t="n"/>
      <c r="D59" s="71" t="n"/>
      <c r="E59" s="85" t="n"/>
      <c r="F59" s="1" t="n"/>
      <c r="G59" s="1" t="n"/>
      <c r="H59" s="1" t="n"/>
    </row>
    <row r="60" ht="17" customHeight="1">
      <c r="A60" s="1" t="n"/>
      <c r="B60" s="61" t="n"/>
      <c r="C60" s="61" t="n"/>
      <c r="D60" s="62" t="n"/>
      <c r="E60" s="84" t="n"/>
      <c r="F60" s="1" t="n"/>
      <c r="G60" s="1" t="n"/>
      <c r="H60" s="1" t="n"/>
    </row>
    <row r="61" ht="17" customHeight="1">
      <c r="A61" s="1" t="n"/>
      <c r="B61" s="70" t="n"/>
      <c r="C61" s="70" t="n"/>
      <c r="D61" s="71" t="n"/>
      <c r="E61" s="85" t="n"/>
      <c r="F61" s="1" t="n"/>
      <c r="G61" s="1" t="n"/>
      <c r="H61" s="1" t="n"/>
    </row>
    <row r="62" ht="17" customHeight="1">
      <c r="A62" s="1" t="n"/>
      <c r="B62" s="61" t="n"/>
      <c r="C62" s="61" t="n"/>
      <c r="D62" s="62" t="n"/>
      <c r="E62" s="84" t="n"/>
      <c r="F62" s="1" t="n"/>
      <c r="G62" s="1" t="n"/>
      <c r="H62" s="1" t="n"/>
    </row>
    <row r="63" ht="17" customHeight="1">
      <c r="A63" s="1" t="n"/>
      <c r="B63" s="70" t="n"/>
      <c r="C63" s="70" t="n"/>
      <c r="D63" s="71" t="n"/>
      <c r="E63" s="85" t="n"/>
      <c r="F63" s="1" t="n"/>
      <c r="G63" s="1" t="n"/>
      <c r="H63" s="1" t="n"/>
    </row>
    <row r="64" ht="24" customHeight="1">
      <c r="A64" s="1" t="n"/>
      <c r="B64" s="75">
        <f>INDEX(Config!$B$6:$C$104,MATCH("cost.sum.var",Config!$A$6:$A$104,0),LANG)</f>
        <v/>
      </c>
      <c r="C64" s="38" t="n"/>
      <c r="D64" s="76">
        <f>SUM(D34:D63)</f>
        <v/>
      </c>
      <c r="E64" s="83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</sheetData>
  <mergeCells count="8">
    <mergeCell ref="B31:E31"/>
    <mergeCell ref="B64:C64"/>
    <mergeCell ref="B29:C29"/>
    <mergeCell ref="B4:E4"/>
    <mergeCell ref="B6:E6"/>
    <mergeCell ref="B7:E7"/>
    <mergeCell ref="B3:E3"/>
    <mergeCell ref="B32:E32"/>
  </mergeCells>
  <conditionalFormatting sqref="D9:D29">
    <cfRule type="expression" priority="1" dxfId="22">
      <formula>LANG=2</formula>
    </cfRule>
  </conditionalFormatting>
  <conditionalFormatting sqref="D34:D64">
    <cfRule type="expression" priority="2" dxfId="23">
      <formula>LANG=2</formula>
    </cfRule>
  </conditionalFormatting>
  <conditionalFormatting sqref="E34:E63">
    <cfRule type="expression" priority="3" dxfId="24">
      <formula>LANG=2</formula>
    </cfRule>
  </conditionalFormatting>
  <dataValidations count="1">
    <dataValidation sqref="E9:E28" showDropDown="0" showInputMessage="0" showErrorMessage="0" allowBlank="1" type="whole" operator="between">
      <formula1>1</formula1>
      <formula2>28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A88F"/>
    <outlinePr summaryBelow="1" summaryRight="1"/>
    <pageSetUpPr fitToPage="1"/>
  </sheetPr>
  <dimension ref="A1:Q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2" customWidth="1" min="5" max="5"/>
    <col width="11" customWidth="1" min="6" max="6"/>
    <col width="11" customWidth="1" min="7" max="7"/>
    <col width="11" customWidth="1" min="8" max="8"/>
    <col width="2" customWidth="1" min="9" max="9"/>
    <col width="11" customWidth="1" min="10" max="10"/>
    <col width="11" customWidth="1" min="11" max="11"/>
    <col width="11" customWidth="1" min="12" max="12"/>
    <col width="2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0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1" t="n"/>
    </row>
    <row r="3" ht="26" customHeight="1">
      <c r="A3" s="1" t="n"/>
      <c r="B3" s="4">
        <f>INDEX(Config!$B$6:$C$104,MATCH("app.title",Config!$A$6:$A$104,0),LANG)</f>
        <v/>
      </c>
      <c r="M3" s="2" t="n"/>
      <c r="N3" s="2" t="n"/>
      <c r="O3" s="2" t="n"/>
      <c r="P3" s="2" t="n"/>
      <c r="Q3" s="1" t="n"/>
    </row>
    <row r="4" ht="16" customHeight="1">
      <c r="A4" s="1" t="n"/>
      <c r="B4" s="8">
        <f>INDEX(Config!$B$6:$C$104,MATCH("scn.title",Config!$A$6:$A$104,0),LANG)</f>
        <v/>
      </c>
      <c r="M4" s="2" t="n"/>
      <c r="N4" s="2" t="n"/>
      <c r="O4" s="2" t="n"/>
      <c r="P4" s="2" t="n"/>
      <c r="Q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20" customHeight="1">
      <c r="A6" s="1" t="n"/>
      <c r="B6" s="24">
        <f>INDEX(Config!$B$6:$C$104,MATCH("scn.controls",Config!$A$6:$A$104,0),LANG)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16" customHeight="1">
      <c r="A7" s="1" t="n"/>
      <c r="B7" s="58">
        <f>INDEX(Config!$B$6:$C$104,MATCH("scn.hint",Config!$A$6:$A$104,0),LANG)</f>
        <v/>
      </c>
      <c r="Q7" s="1" t="n"/>
    </row>
    <row r="8" ht="6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A9" s="1" t="n"/>
      <c r="B9" s="25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7" t="n"/>
      <c r="Q9" s="1" t="n"/>
    </row>
    <row r="10" ht="22" customHeight="1">
      <c r="A10" s="1" t="n"/>
      <c r="B10" s="28" t="n"/>
      <c r="C10" s="86">
        <f>INDEX(Config!$B$6:$C$104,MATCH("scn.delay_all",Config!$A$6:$A$104,0),LANG)</f>
        <v/>
      </c>
      <c r="I10" s="29" t="n"/>
      <c r="J10" s="87" t="n">
        <v>14</v>
      </c>
      <c r="K10" s="88" t="n"/>
      <c r="L10" s="44" t="n"/>
      <c r="M10" s="29" t="n"/>
      <c r="N10" s="89">
        <f>INDEX(Config!$B$6:$C$104,MATCH("scn.days",Config!$A$6:$A$104,0),LANG)</f>
        <v/>
      </c>
      <c r="O10" s="29" t="n"/>
      <c r="P10" s="30" t="n"/>
      <c r="Q10" s="1" t="n"/>
    </row>
    <row r="11" ht="15" customHeight="1">
      <c r="A11" s="1" t="n"/>
      <c r="B11" s="28" t="n"/>
      <c r="C11" s="90">
        <f>INDEX(Config!$B$6:$C$104,MATCH("scn.delay_all.h",Config!$A$6:$A$104,0),LANG)</f>
        <v/>
      </c>
      <c r="I11" s="29" t="n"/>
      <c r="J11" s="29" t="n"/>
      <c r="K11" s="29" t="n"/>
      <c r="L11" s="29" t="n"/>
      <c r="M11" s="29" t="n"/>
      <c r="N11" s="29" t="n"/>
      <c r="O11" s="29" t="n"/>
      <c r="P11" s="30" t="n"/>
      <c r="Q11" s="1" t="n"/>
    </row>
    <row r="12">
      <c r="A12" s="1" t="n"/>
      <c r="B12" s="28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30" t="n"/>
      <c r="Q12" s="1" t="n"/>
    </row>
    <row r="13" ht="22" customHeight="1">
      <c r="A13" s="1" t="n"/>
      <c r="B13" s="28" t="n"/>
      <c r="C13" s="86">
        <f>INDEX(Config!$B$6:$C$104,MATCH("scn.customer",Config!$A$6:$A$104,0),LANG)</f>
        <v/>
      </c>
      <c r="I13" s="29" t="n"/>
      <c r="J13" s="53" t="inlineStr">
        <is>
          <t>TechnoPlus AG</t>
        </is>
      </c>
      <c r="K13" s="88" t="n"/>
      <c r="L13" s="44" t="n"/>
      <c r="M13" s="29" t="n"/>
      <c r="N13" s="29" t="n"/>
      <c r="O13" s="29" t="n"/>
      <c r="P13" s="30" t="n"/>
      <c r="Q13" s="1" t="n"/>
    </row>
    <row r="14" ht="15" customHeight="1">
      <c r="A14" s="1" t="n"/>
      <c r="B14" s="28" t="n"/>
      <c r="C14" s="90">
        <f>INDEX(Config!$B$6:$C$104,MATCH("scn.customer.h",Config!$A$6:$A$104,0),LANG)</f>
        <v/>
      </c>
      <c r="I14" s="29" t="n"/>
      <c r="J14" s="29" t="n"/>
      <c r="K14" s="29" t="n"/>
      <c r="L14" s="29" t="n"/>
      <c r="M14" s="29" t="n"/>
      <c r="N14" s="29" t="n"/>
      <c r="O14" s="29" t="n"/>
      <c r="P14" s="30" t="n"/>
      <c r="Q14" s="1" t="n"/>
    </row>
    <row r="15">
      <c r="A15" s="1" t="n"/>
      <c r="B15" s="28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30" t="n"/>
      <c r="Q15" s="1" t="n"/>
    </row>
    <row r="16" ht="22" customHeight="1">
      <c r="A16" s="1" t="n"/>
      <c r="B16" s="28" t="n"/>
      <c r="C16" s="86">
        <f>INDEX(Config!$B$6:$C$104,MATCH("scn.delay_cust",Config!$A$6:$A$104,0),LANG)</f>
        <v/>
      </c>
      <c r="I16" s="29" t="n"/>
      <c r="J16" s="87" t="n">
        <v>21</v>
      </c>
      <c r="K16" s="88" t="n"/>
      <c r="L16" s="44" t="n"/>
      <c r="M16" s="29" t="n"/>
      <c r="N16" s="89">
        <f>INDEX(Config!$B$6:$C$104,MATCH("scn.days",Config!$A$6:$A$104,0),LANG)</f>
        <v/>
      </c>
      <c r="O16" s="29" t="n"/>
      <c r="P16" s="30" t="n"/>
      <c r="Q16" s="1" t="n"/>
    </row>
    <row r="17" ht="15" customHeight="1">
      <c r="A17" s="1" t="n"/>
      <c r="B17" s="28" t="n"/>
      <c r="C17" s="90">
        <f>INDEX(Config!$B$6:$C$104,MATCH("scn.delay_cust.h",Config!$A$6:$A$104,0),LANG)</f>
        <v/>
      </c>
      <c r="I17" s="29" t="n"/>
      <c r="J17" s="29" t="n"/>
      <c r="K17" s="29" t="n"/>
      <c r="L17" s="29" t="n"/>
      <c r="M17" s="29" t="n"/>
      <c r="N17" s="29" t="n"/>
      <c r="O17" s="29" t="n"/>
      <c r="P17" s="30" t="n"/>
      <c r="Q17" s="1" t="n"/>
    </row>
    <row r="18">
      <c r="A18" s="1" t="n"/>
      <c r="B18" s="28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30" t="n"/>
      <c r="Q18" s="1" t="n"/>
    </row>
    <row r="19" ht="22" customHeight="1">
      <c r="A19" s="1" t="n"/>
      <c r="B19" s="28" t="n"/>
      <c r="C19" s="86">
        <f>INDEX(Config!$B$6:$C$104,MATCH("scn.loss",Config!$A$6:$A$104,0),LANG)</f>
        <v/>
      </c>
      <c r="I19" s="29" t="n"/>
      <c r="J19" s="91" t="n">
        <v>0</v>
      </c>
      <c r="K19" s="88" t="n"/>
      <c r="L19" s="44" t="n"/>
      <c r="M19" s="29" t="n"/>
      <c r="N19" s="29" t="n"/>
      <c r="O19" s="29" t="n"/>
      <c r="P19" s="30" t="n"/>
      <c r="Q19" s="1" t="n"/>
    </row>
    <row r="20" ht="15" customHeight="1">
      <c r="A20" s="1" t="n"/>
      <c r="B20" s="31" t="n"/>
      <c r="C20" s="92">
        <f>INDEX(Config!$B$6:$C$104,MATCH("scn.loss.h",Config!$A$6:$A$104,0),LANG)</f>
        <v/>
      </c>
      <c r="D20" s="21" t="n"/>
      <c r="E20" s="21" t="n"/>
      <c r="F20" s="21" t="n"/>
      <c r="G20" s="21" t="n"/>
      <c r="H20" s="21" t="n"/>
      <c r="I20" s="32" t="n"/>
      <c r="J20" s="32" t="n"/>
      <c r="K20" s="32" t="n"/>
      <c r="L20" s="32" t="n"/>
      <c r="M20" s="32" t="n"/>
      <c r="N20" s="32" t="n"/>
      <c r="O20" s="32" t="n"/>
      <c r="P20" s="33" t="n"/>
      <c r="Q20" s="1" t="n"/>
    </row>
    <row r="21">
      <c r="A21" s="1" t="n"/>
      <c r="B21" s="93">
        <f>INDEX(Config!$B$6:$C$104,MATCH("scn.reset",Config!$A$6:$A$104,0),LANG)</f>
        <v/>
      </c>
      <c r="Q21" s="1" t="n"/>
    </row>
    <row r="22" ht="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 ht="20" customHeight="1">
      <c r="A23" s="1" t="n"/>
      <c r="B23" s="24">
        <f>INDEX(Config!$B$6:$C$104,MATCH("scn.impact",Config!$A$6:$A$104,0),LANG)</f>
        <v/>
      </c>
      <c r="Q23" s="1" t="n"/>
    </row>
    <row r="24" ht="6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6" customHeight="1">
      <c r="A25" s="1" t="n"/>
      <c r="B25" s="9" t="n"/>
      <c r="C25" s="10" t="n"/>
      <c r="D25" s="11" t="n"/>
      <c r="E25" s="1" t="n"/>
      <c r="F25" s="94" t="n"/>
      <c r="G25" s="95" t="n"/>
      <c r="H25" s="96" t="n"/>
      <c r="I25" s="1" t="n"/>
      <c r="J25" s="97" t="n"/>
      <c r="K25" s="98" t="n"/>
      <c r="L25" s="99" t="n"/>
      <c r="M25" s="1" t="n"/>
      <c r="N25" s="9" t="n"/>
      <c r="O25" s="10" t="n"/>
      <c r="P25" s="11" t="n"/>
      <c r="Q25" s="1" t="n"/>
    </row>
    <row r="26" ht="15" customHeight="1">
      <c r="A26" s="1" t="n"/>
      <c r="B26" s="15">
        <f>INDEX(Config!$B$6:$C$104,MATCH("scn.low.base",Config!$A$6:$A$104,0),LANG)</f>
        <v/>
      </c>
      <c r="D26" s="16" t="n"/>
      <c r="E26" s="1" t="n"/>
      <c r="F26" s="15">
        <f>INDEX(Config!$B$6:$C$104,MATCH("scn.low.scn",Config!$A$6:$A$104,0),LANG)</f>
        <v/>
      </c>
      <c r="H26" s="16" t="n"/>
      <c r="I26" s="1" t="n"/>
      <c r="J26" s="15">
        <f>INDEX(Config!$B$6:$C$104,MATCH("scn.gap",Config!$A$6:$A$104,0),LANG)</f>
        <v/>
      </c>
      <c r="L26" s="16" t="n"/>
      <c r="M26" s="1" t="n"/>
      <c r="N26" s="15">
        <f>INDEX(Config!$B$6:$C$104,MATCH("scn.firstwarn",Config!$A$6:$A$104,0),LANG)</f>
        <v/>
      </c>
      <c r="P26" s="16" t="n"/>
      <c r="Q26" s="1" t="n"/>
    </row>
    <row r="27" ht="26" customHeight="1">
      <c r="A27" s="1" t="n"/>
      <c r="B27" s="17">
        <f>MIN(Config!$U$5:$U$16)</f>
        <v/>
      </c>
      <c r="D27" s="16" t="n"/>
      <c r="E27" s="1" t="n"/>
      <c r="F27" s="17">
        <f>MIN(Config!$V$5:$V$16)</f>
        <v/>
      </c>
      <c r="H27" s="16" t="n"/>
      <c r="I27" s="1" t="n"/>
      <c r="J27" s="100">
        <f>MIN(Config!$V$5:$V$16)-MIN(Config!$U$5:$U$16)</f>
        <v/>
      </c>
      <c r="L27" s="16" t="n"/>
      <c r="M27" s="1" t="n"/>
      <c r="N27" s="101">
        <f>IF(MAX(Config!$W$5:$W$16)=0,INDEX(Config!$B$6:$C$104,MATCH("scn.none",Config!$A$6:$A$104,0),LANG),INDEX(Config!$Y$5:$Y$16,MATCH(MAX(Config!$W$5:$W$16),Config!$W$5:$W$16,0)))</f>
        <v/>
      </c>
      <c r="P27" s="16" t="n"/>
      <c r="Q27" s="1" t="n"/>
    </row>
    <row r="28" ht="14" customHeight="1">
      <c r="A28" s="1" t="n"/>
      <c r="B28" s="31" t="n"/>
      <c r="C28" s="32" t="n"/>
      <c r="D28" s="33" t="n"/>
      <c r="E28" s="1" t="n"/>
      <c r="F28" s="31" t="n"/>
      <c r="G28" s="32" t="n"/>
      <c r="H28" s="33" t="n"/>
      <c r="I28" s="1" t="n"/>
      <c r="J28" s="31" t="n"/>
      <c r="K28" s="32" t="n"/>
      <c r="L28" s="33" t="n"/>
      <c r="M28" s="1" t="n"/>
      <c r="N28" s="31" t="n"/>
      <c r="O28" s="32" t="n"/>
      <c r="P28" s="33" t="n"/>
      <c r="Q28" s="1" t="n"/>
    </row>
    <row r="29" ht="10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 ht="20" customHeight="1">
      <c r="A30" s="1" t="n"/>
      <c r="B30" s="24">
        <f>INDEX(Config!$B$6:$C$104,MATCH("sec.table",Config!$A$6:$A$104,0),LANG)</f>
        <v/>
      </c>
      <c r="G30" s="1" t="n"/>
      <c r="H30" s="24">
        <f>INDEX(Config!$B$6:$C$104,MATCH("scn.chart",Config!$A$6:$A$104,0),LANG)</f>
        <v/>
      </c>
      <c r="Q30" s="1" t="n"/>
    </row>
    <row r="31" ht="22" customHeight="1">
      <c r="A31" s="1" t="n"/>
      <c r="B31" s="34">
        <f>INDEX(Config!$B$6:$C$104,MATCH("th.week",Config!$A$6:$A$104,0),LANG)</f>
        <v/>
      </c>
      <c r="C31" s="34">
        <f>INDEX(Config!$B$6:$C$104,MATCH("th.base",Config!$A$6:$A$104,0),LANG)</f>
        <v/>
      </c>
      <c r="D31" s="34">
        <f>INDEX(Config!$B$6:$C$104,MATCH("th.scn",Config!$A$6:$A$104,0),LANG)</f>
        <v/>
      </c>
      <c r="E31" s="2" t="n"/>
      <c r="F31" s="34">
        <f>INDEX(Config!$B$6:$C$104,MATCH("scn.h.diff",Config!$A$6:$A$104,0),LANG)</f>
        <v/>
      </c>
      <c r="G31" s="1" t="n"/>
      <c r="H31" s="25" t="n"/>
      <c r="I31" s="26" t="n"/>
      <c r="J31" s="26" t="n"/>
      <c r="K31" s="26" t="n"/>
      <c r="L31" s="26" t="n"/>
      <c r="M31" s="26" t="n"/>
      <c r="N31" s="26" t="n"/>
      <c r="O31" s="26" t="n"/>
      <c r="P31" s="27" t="n"/>
      <c r="Q31" s="1" t="n"/>
    </row>
    <row r="32" ht="17" customHeight="1">
      <c r="A32" s="1" t="n"/>
      <c r="B32" s="35">
        <f>Config!$Y$5</f>
        <v/>
      </c>
      <c r="C32" s="40">
        <f>Config!$U$5</f>
        <v/>
      </c>
      <c r="D32" s="102">
        <f>Config!$V$5</f>
        <v/>
      </c>
      <c r="E32" s="38" t="n"/>
      <c r="F32" s="103">
        <f>Config!$V$5-Config!$U$5</f>
        <v/>
      </c>
      <c r="G32" s="1" t="n"/>
      <c r="H32" s="28" t="n"/>
      <c r="I32" s="29" t="n"/>
      <c r="J32" s="29" t="n"/>
      <c r="K32" s="29" t="n"/>
      <c r="L32" s="29" t="n"/>
      <c r="M32" s="29" t="n"/>
      <c r="N32" s="29" t="n"/>
      <c r="O32" s="29" t="n"/>
      <c r="P32" s="30" t="n"/>
      <c r="Q32" s="1" t="n"/>
    </row>
    <row r="33" ht="17" customHeight="1">
      <c r="A33" s="1" t="n"/>
      <c r="B33" s="45">
        <f>Config!$Y$6</f>
        <v/>
      </c>
      <c r="C33" s="49">
        <f>Config!$U$6</f>
        <v/>
      </c>
      <c r="D33" s="104">
        <f>Config!$V$6</f>
        <v/>
      </c>
      <c r="E33" s="38" t="n"/>
      <c r="F33" s="105">
        <f>Config!$V$6-Config!$U$6</f>
        <v/>
      </c>
      <c r="G33" s="1" t="n"/>
      <c r="H33" s="28" t="n"/>
      <c r="I33" s="29" t="n"/>
      <c r="J33" s="29" t="n"/>
      <c r="K33" s="29" t="n"/>
      <c r="L33" s="29" t="n"/>
      <c r="M33" s="29" t="n"/>
      <c r="N33" s="29" t="n"/>
      <c r="O33" s="29" t="n"/>
      <c r="P33" s="30" t="n"/>
      <c r="Q33" s="1" t="n"/>
    </row>
    <row r="34" ht="17" customHeight="1">
      <c r="A34" s="1" t="n"/>
      <c r="B34" s="35">
        <f>Config!$Y$7</f>
        <v/>
      </c>
      <c r="C34" s="40">
        <f>Config!$U$7</f>
        <v/>
      </c>
      <c r="D34" s="102">
        <f>Config!$V$7</f>
        <v/>
      </c>
      <c r="E34" s="38" t="n"/>
      <c r="F34" s="103">
        <f>Config!$V$7-Config!$U$7</f>
        <v/>
      </c>
      <c r="G34" s="1" t="n"/>
      <c r="H34" s="28" t="n"/>
      <c r="I34" s="29" t="n"/>
      <c r="J34" s="29" t="n"/>
      <c r="K34" s="29" t="n"/>
      <c r="L34" s="29" t="n"/>
      <c r="M34" s="29" t="n"/>
      <c r="N34" s="29" t="n"/>
      <c r="O34" s="29" t="n"/>
      <c r="P34" s="30" t="n"/>
      <c r="Q34" s="1" t="n"/>
    </row>
    <row r="35" ht="17" customHeight="1">
      <c r="A35" s="1" t="n"/>
      <c r="B35" s="45">
        <f>Config!$Y$8</f>
        <v/>
      </c>
      <c r="C35" s="49">
        <f>Config!$U$8</f>
        <v/>
      </c>
      <c r="D35" s="104">
        <f>Config!$V$8</f>
        <v/>
      </c>
      <c r="E35" s="38" t="n"/>
      <c r="F35" s="105">
        <f>Config!$V$8-Config!$U$8</f>
        <v/>
      </c>
      <c r="G35" s="1" t="n"/>
      <c r="H35" s="28" t="n"/>
      <c r="I35" s="29" t="n"/>
      <c r="J35" s="29" t="n"/>
      <c r="K35" s="29" t="n"/>
      <c r="L35" s="29" t="n"/>
      <c r="M35" s="29" t="n"/>
      <c r="N35" s="29" t="n"/>
      <c r="O35" s="29" t="n"/>
      <c r="P35" s="30" t="n"/>
      <c r="Q35" s="1" t="n"/>
    </row>
    <row r="36" ht="17" customHeight="1">
      <c r="A36" s="1" t="n"/>
      <c r="B36" s="35">
        <f>Config!$Y$9</f>
        <v/>
      </c>
      <c r="C36" s="40">
        <f>Config!$U$9</f>
        <v/>
      </c>
      <c r="D36" s="102">
        <f>Config!$V$9</f>
        <v/>
      </c>
      <c r="E36" s="38" t="n"/>
      <c r="F36" s="103">
        <f>Config!$V$9-Config!$U$9</f>
        <v/>
      </c>
      <c r="G36" s="1" t="n"/>
      <c r="H36" s="28" t="n"/>
      <c r="I36" s="29" t="n"/>
      <c r="J36" s="29" t="n"/>
      <c r="K36" s="29" t="n"/>
      <c r="L36" s="29" t="n"/>
      <c r="M36" s="29" t="n"/>
      <c r="N36" s="29" t="n"/>
      <c r="O36" s="29" t="n"/>
      <c r="P36" s="30" t="n"/>
      <c r="Q36" s="1" t="n"/>
    </row>
    <row r="37" ht="17" customHeight="1">
      <c r="A37" s="1" t="n"/>
      <c r="B37" s="45">
        <f>Config!$Y$10</f>
        <v/>
      </c>
      <c r="C37" s="49">
        <f>Config!$U$10</f>
        <v/>
      </c>
      <c r="D37" s="104">
        <f>Config!$V$10</f>
        <v/>
      </c>
      <c r="E37" s="38" t="n"/>
      <c r="F37" s="105">
        <f>Config!$V$10-Config!$U$10</f>
        <v/>
      </c>
      <c r="G37" s="1" t="n"/>
      <c r="H37" s="28" t="n"/>
      <c r="I37" s="29" t="n"/>
      <c r="J37" s="29" t="n"/>
      <c r="K37" s="29" t="n"/>
      <c r="L37" s="29" t="n"/>
      <c r="M37" s="29" t="n"/>
      <c r="N37" s="29" t="n"/>
      <c r="O37" s="29" t="n"/>
      <c r="P37" s="30" t="n"/>
      <c r="Q37" s="1" t="n"/>
    </row>
    <row r="38" ht="17" customHeight="1">
      <c r="A38" s="1" t="n"/>
      <c r="B38" s="35">
        <f>Config!$Y$11</f>
        <v/>
      </c>
      <c r="C38" s="40">
        <f>Config!$U$11</f>
        <v/>
      </c>
      <c r="D38" s="102">
        <f>Config!$V$11</f>
        <v/>
      </c>
      <c r="E38" s="38" t="n"/>
      <c r="F38" s="103">
        <f>Config!$V$11-Config!$U$11</f>
        <v/>
      </c>
      <c r="G38" s="1" t="n"/>
      <c r="H38" s="28" t="n"/>
      <c r="I38" s="29" t="n"/>
      <c r="J38" s="29" t="n"/>
      <c r="K38" s="29" t="n"/>
      <c r="L38" s="29" t="n"/>
      <c r="M38" s="29" t="n"/>
      <c r="N38" s="29" t="n"/>
      <c r="O38" s="29" t="n"/>
      <c r="P38" s="30" t="n"/>
      <c r="Q38" s="1" t="n"/>
    </row>
    <row r="39" ht="17" customHeight="1">
      <c r="A39" s="1" t="n"/>
      <c r="B39" s="45">
        <f>Config!$Y$12</f>
        <v/>
      </c>
      <c r="C39" s="49">
        <f>Config!$U$12</f>
        <v/>
      </c>
      <c r="D39" s="104">
        <f>Config!$V$12</f>
        <v/>
      </c>
      <c r="E39" s="38" t="n"/>
      <c r="F39" s="105">
        <f>Config!$V$12-Config!$U$12</f>
        <v/>
      </c>
      <c r="G39" s="1" t="n"/>
      <c r="H39" s="28" t="n"/>
      <c r="I39" s="29" t="n"/>
      <c r="J39" s="29" t="n"/>
      <c r="K39" s="29" t="n"/>
      <c r="L39" s="29" t="n"/>
      <c r="M39" s="29" t="n"/>
      <c r="N39" s="29" t="n"/>
      <c r="O39" s="29" t="n"/>
      <c r="P39" s="30" t="n"/>
      <c r="Q39" s="1" t="n"/>
    </row>
    <row r="40" ht="17" customHeight="1">
      <c r="A40" s="1" t="n"/>
      <c r="B40" s="35">
        <f>Config!$Y$13</f>
        <v/>
      </c>
      <c r="C40" s="40">
        <f>Config!$U$13</f>
        <v/>
      </c>
      <c r="D40" s="102">
        <f>Config!$V$13</f>
        <v/>
      </c>
      <c r="E40" s="38" t="n"/>
      <c r="F40" s="103">
        <f>Config!$V$13-Config!$U$13</f>
        <v/>
      </c>
      <c r="G40" s="1" t="n"/>
      <c r="H40" s="28" t="n"/>
      <c r="I40" s="29" t="n"/>
      <c r="J40" s="29" t="n"/>
      <c r="K40" s="29" t="n"/>
      <c r="L40" s="29" t="n"/>
      <c r="M40" s="29" t="n"/>
      <c r="N40" s="29" t="n"/>
      <c r="O40" s="29" t="n"/>
      <c r="P40" s="30" t="n"/>
      <c r="Q40" s="1" t="n"/>
    </row>
    <row r="41" ht="17" customHeight="1">
      <c r="A41" s="1" t="n"/>
      <c r="B41" s="45">
        <f>Config!$Y$14</f>
        <v/>
      </c>
      <c r="C41" s="49">
        <f>Config!$U$14</f>
        <v/>
      </c>
      <c r="D41" s="104">
        <f>Config!$V$14</f>
        <v/>
      </c>
      <c r="E41" s="38" t="n"/>
      <c r="F41" s="105">
        <f>Config!$V$14-Config!$U$14</f>
        <v/>
      </c>
      <c r="G41" s="1" t="n"/>
      <c r="H41" s="28" t="n"/>
      <c r="I41" s="29" t="n"/>
      <c r="J41" s="29" t="n"/>
      <c r="K41" s="29" t="n"/>
      <c r="L41" s="29" t="n"/>
      <c r="M41" s="29" t="n"/>
      <c r="N41" s="29" t="n"/>
      <c r="O41" s="29" t="n"/>
      <c r="P41" s="30" t="n"/>
      <c r="Q41" s="1" t="n"/>
    </row>
    <row r="42" ht="17" customHeight="1">
      <c r="A42" s="1" t="n"/>
      <c r="B42" s="35">
        <f>Config!$Y$15</f>
        <v/>
      </c>
      <c r="C42" s="40">
        <f>Config!$U$15</f>
        <v/>
      </c>
      <c r="D42" s="102">
        <f>Config!$V$15</f>
        <v/>
      </c>
      <c r="E42" s="38" t="n"/>
      <c r="F42" s="103">
        <f>Config!$V$15-Config!$U$15</f>
        <v/>
      </c>
      <c r="G42" s="1" t="n"/>
      <c r="H42" s="28" t="n"/>
      <c r="I42" s="29" t="n"/>
      <c r="J42" s="29" t="n"/>
      <c r="K42" s="29" t="n"/>
      <c r="L42" s="29" t="n"/>
      <c r="M42" s="29" t="n"/>
      <c r="N42" s="29" t="n"/>
      <c r="O42" s="29" t="n"/>
      <c r="P42" s="30" t="n"/>
      <c r="Q42" s="1" t="n"/>
    </row>
    <row r="43" ht="17" customHeight="1">
      <c r="A43" s="1" t="n"/>
      <c r="B43" s="45">
        <f>Config!$Y$16</f>
        <v/>
      </c>
      <c r="C43" s="49">
        <f>Config!$U$16</f>
        <v/>
      </c>
      <c r="D43" s="104">
        <f>Config!$V$16</f>
        <v/>
      </c>
      <c r="E43" s="38" t="n"/>
      <c r="F43" s="105">
        <f>Config!$V$16-Config!$U$16</f>
        <v/>
      </c>
      <c r="G43" s="1" t="n"/>
      <c r="H43" s="31" t="n"/>
      <c r="I43" s="32" t="n"/>
      <c r="J43" s="32" t="n"/>
      <c r="K43" s="32" t="n"/>
      <c r="L43" s="32" t="n"/>
      <c r="M43" s="32" t="n"/>
      <c r="N43" s="32" t="n"/>
      <c r="O43" s="32" t="n"/>
      <c r="P43" s="33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</sheetData>
  <mergeCells count="40">
    <mergeCell ref="B4:L4"/>
    <mergeCell ref="C10:H10"/>
    <mergeCell ref="C16:H16"/>
    <mergeCell ref="D34:E34"/>
    <mergeCell ref="J27:L27"/>
    <mergeCell ref="B3:L3"/>
    <mergeCell ref="B6:H6"/>
    <mergeCell ref="B23:P23"/>
    <mergeCell ref="F26:H26"/>
    <mergeCell ref="D40:E40"/>
    <mergeCell ref="J26:L26"/>
    <mergeCell ref="D36:E36"/>
    <mergeCell ref="C11:H11"/>
    <mergeCell ref="J16:L16"/>
    <mergeCell ref="D35:E35"/>
    <mergeCell ref="F27:H27"/>
    <mergeCell ref="D32:E32"/>
    <mergeCell ref="C17:H17"/>
    <mergeCell ref="D41:E41"/>
    <mergeCell ref="C19:H19"/>
    <mergeCell ref="C13:H13"/>
    <mergeCell ref="D43:E43"/>
    <mergeCell ref="D37:E37"/>
    <mergeCell ref="B26:D26"/>
    <mergeCell ref="N27:P27"/>
    <mergeCell ref="H30:P30"/>
    <mergeCell ref="N26:P26"/>
    <mergeCell ref="D39:E39"/>
    <mergeCell ref="B30:F30"/>
    <mergeCell ref="B7:P7"/>
    <mergeCell ref="J10:L10"/>
    <mergeCell ref="C14:H14"/>
    <mergeCell ref="D42:E42"/>
    <mergeCell ref="D33:E33"/>
    <mergeCell ref="J13:L13"/>
    <mergeCell ref="J19:L19"/>
    <mergeCell ref="D38:E38"/>
    <mergeCell ref="B27:D27"/>
    <mergeCell ref="C20:H20"/>
    <mergeCell ref="B21:P21"/>
  </mergeCells>
  <conditionalFormatting sqref="B32:B43">
    <cfRule type="expression" priority="1" dxfId="6">
      <formula>=INDEX(Config!$W$5:$W$16,ROW()-31)=2</formula>
    </cfRule>
    <cfRule type="expression" priority="2" dxfId="7">
      <formula>=INDEX(Config!$W$5:$W$16,ROW()-31)=1</formula>
    </cfRule>
    <cfRule type="expression" priority="3" dxfId="8">
      <formula>=INDEX(Config!$W$5:$W$16,ROW()-31)=0</formula>
    </cfRule>
  </conditionalFormatting>
  <conditionalFormatting sqref="D32:D43">
    <cfRule type="expression" priority="4" dxfId="3">
      <formula>=INDEX(Config!$W$5:$W$16,ROW()-31)=2</formula>
    </cfRule>
    <cfRule type="expression" priority="5" dxfId="4">
      <formula>=INDEX(Config!$W$5:$W$16,ROW()-31)=1</formula>
    </cfRule>
    <cfRule type="expression" priority="6" dxfId="5">
      <formula>=INDEX(Config!$W$5:$W$16,ROW()-31)=0</formula>
    </cfRule>
  </conditionalFormatting>
  <conditionalFormatting sqref="C32:E43">
    <cfRule type="expression" priority="7" dxfId="25">
      <formula>LANG=2</formula>
    </cfRule>
  </conditionalFormatting>
  <conditionalFormatting sqref="F32:F43">
    <cfRule type="expression" priority="8" dxfId="26">
      <formula>LANG=2</formula>
    </cfRule>
  </conditionalFormatting>
  <dataValidations count="3">
    <dataValidation sqref="J13" showDropDown="0" showInputMessage="0" showErrorMessage="0" allowBlank="1" type="list">
      <formula1>Config!$J$5:$J$39</formula1>
    </dataValidation>
    <dataValidation sqref="J10 J16" showDropDown="0" showInputMessage="0" showErrorMessage="0" allowBlank="1" type="whole" operator="between">
      <formula1>0</formula1>
      <formula2>365</formula2>
    </dataValidation>
    <dataValidation sqref="J19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6B7C8A"/>
    <outlinePr summaryBelow="1" summaryRight="1"/>
    <pageSetUpPr/>
  </sheetPr>
  <dimension ref="A1:AM10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70" customWidth="1" min="3" max="3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06" t="inlineStr">
        <is>
          <t>CONFIG — Steuerdaten. Bitte nicht verändern. / Control data. Please do not edit.</t>
        </is>
      </c>
    </row>
    <row r="2">
      <c r="D2" s="107" t="inlineStr">
        <is>
          <t>LANG</t>
        </is>
      </c>
      <c r="E2" s="108">
        <f>IF(Dashboard!$N$3="English",2,1)</f>
        <v/>
      </c>
    </row>
    <row r="3">
      <c r="D3" s="107" t="inlineStr">
        <is>
          <t>VATON</t>
        </is>
      </c>
      <c r="E3" s="108">
        <f>IF(COUNTIF($F$8:$G$8,Dashboard!$N$37)&gt;0,1,0)</f>
        <v/>
      </c>
      <c r="AB3" s="109">
        <f>M5</f>
        <v/>
      </c>
      <c r="AC3" s="109">
        <f>M6</f>
        <v/>
      </c>
      <c r="AD3" s="109">
        <f>M7</f>
        <v/>
      </c>
      <c r="AE3" s="109">
        <f>M8</f>
        <v/>
      </c>
      <c r="AF3" s="109">
        <f>M9</f>
        <v/>
      </c>
      <c r="AG3" s="109">
        <f>M10</f>
        <v/>
      </c>
      <c r="AH3" s="109">
        <f>M11</f>
        <v/>
      </c>
      <c r="AI3" s="109">
        <f>M12</f>
        <v/>
      </c>
      <c r="AJ3" s="109">
        <f>M13</f>
        <v/>
      </c>
      <c r="AK3" s="109">
        <f>M14</f>
        <v/>
      </c>
      <c r="AL3" s="109">
        <f>M15</f>
        <v/>
      </c>
      <c r="AM3" s="109">
        <f>M16</f>
        <v/>
      </c>
    </row>
    <row r="4">
      <c r="F4" s="110" t="inlineStr">
        <is>
          <t>DE</t>
        </is>
      </c>
      <c r="G4" s="110" t="inlineStr">
        <is>
          <t>EN</t>
        </is>
      </c>
      <c r="H4" s="110" t="inlineStr">
        <is>
          <t>aktiv/active</t>
        </is>
      </c>
      <c r="J4" s="110" t="inlineStr">
        <is>
          <t>Kunden / Customers</t>
        </is>
      </c>
      <c r="L4" s="111" t="inlineStr">
        <is>
          <t>Wo</t>
        </is>
      </c>
      <c r="M4" s="111" t="inlineStr">
        <is>
          <t>Start</t>
        </is>
      </c>
      <c r="N4" s="111" t="inlineStr">
        <is>
          <t>Ende</t>
        </is>
      </c>
      <c r="O4" s="111" t="inlineStr">
        <is>
          <t>Ein Basis</t>
        </is>
      </c>
      <c r="P4" s="111" t="inlineStr">
        <is>
          <t>Ein Szenario</t>
        </is>
      </c>
      <c r="Q4" s="111" t="inlineStr">
        <is>
          <t>Aus fix</t>
        </is>
      </c>
      <c r="R4" s="111" t="inlineStr">
        <is>
          <t>Aus variabel</t>
        </is>
      </c>
      <c r="S4" s="111" t="inlineStr">
        <is>
          <t>Aus USt</t>
        </is>
      </c>
      <c r="T4" s="111" t="inlineStr">
        <is>
          <t>Aus gesamt</t>
        </is>
      </c>
      <c r="U4" s="111">
        <f>INDEX(Config!$B$6:$C$104,MATCH("ser.base",Config!$A$6:$A$104,0),LANG)</f>
        <v/>
      </c>
      <c r="V4" s="111">
        <f>INDEX(Config!$B$6:$C$104,MATCH("ser.scn",Config!$A$6:$A$104,0),LANG)</f>
        <v/>
      </c>
      <c r="W4" s="111" t="inlineStr">
        <is>
          <t>Ampel</t>
        </is>
      </c>
      <c r="X4" s="111">
        <f>INDEX(Config!$B$6:$C$104,MATCH("ser.min",Config!$A$6:$A$104,0),LANG)</f>
        <v/>
      </c>
      <c r="Y4" s="111" t="inlineStr">
        <is>
          <t>Label</t>
        </is>
      </c>
      <c r="AA4" s="110" t="inlineStr">
        <is>
          <t>Tag</t>
        </is>
      </c>
      <c r="AB4" s="109">
        <f>N5</f>
        <v/>
      </c>
      <c r="AC4" s="109">
        <f>N6</f>
        <v/>
      </c>
      <c r="AD4" s="109">
        <f>N7</f>
        <v/>
      </c>
      <c r="AE4" s="109">
        <f>N8</f>
        <v/>
      </c>
      <c r="AF4" s="109">
        <f>N9</f>
        <v/>
      </c>
      <c r="AG4" s="109">
        <f>N10</f>
        <v/>
      </c>
      <c r="AH4" s="109">
        <f>N11</f>
        <v/>
      </c>
      <c r="AI4" s="109">
        <f>N12</f>
        <v/>
      </c>
      <c r="AJ4" s="109">
        <f>N13</f>
        <v/>
      </c>
      <c r="AK4" s="109">
        <f>N14</f>
        <v/>
      </c>
      <c r="AL4" s="109">
        <f>N15</f>
        <v/>
      </c>
      <c r="AM4" s="109">
        <f>N16</f>
        <v/>
      </c>
    </row>
    <row r="5">
      <c r="A5" s="112" t="inlineStr">
        <is>
          <t>Key</t>
        </is>
      </c>
      <c r="B5" s="112" t="inlineStr">
        <is>
          <t>Deutsch</t>
        </is>
      </c>
      <c r="C5" s="112" t="inlineStr">
        <is>
          <t>English</t>
        </is>
      </c>
      <c r="F5" s="113" t="inlineStr">
        <is>
          <t>offen</t>
        </is>
      </c>
      <c r="G5" s="113" t="inlineStr">
        <is>
          <t>open</t>
        </is>
      </c>
      <c r="H5" s="113">
        <f>INDEX(F5:G5,LANG)</f>
        <v/>
      </c>
      <c r="J5" s="113">
        <f>IFERROR(INDEX('Rechnungen | Invoices'!$C$9:$C$108,MATCH(0,INDEX(COUNTIF($J$4:J4,'Rechnungen | Invoices'!$C$9:$C$108)+('Rechnungen | Invoices'!$C$9:$C$108=""),0),0)),"")</f>
        <v/>
      </c>
      <c r="L5" t="n">
        <v>1</v>
      </c>
      <c r="M5" s="109">
        <f>START</f>
        <v/>
      </c>
      <c r="N5" s="109">
        <f>M5+6</f>
        <v/>
      </c>
      <c r="O5" s="114">
        <f>SUMIFS('Rechnungen | Invoices'!$Q$9:$Q$108,'Rechnungen | Invoices'!$R$9:$R$108,"&gt;="&amp;M5,'Rechnungen | Invoices'!$R$9:$R$108,"&lt;="&amp;N5)</f>
        <v/>
      </c>
      <c r="P5" s="114">
        <f>SUMIFS('Rechnungen | Invoices'!$S$9:$S$108,'Rechnungen | Invoices'!$L$9:$L$108,"&gt;="&amp;M5,'Rechnungen | Invoices'!$L$9:$L$108,"&lt;="&amp;N5)</f>
        <v/>
      </c>
      <c r="Q5" s="114">
        <f>AB$25</f>
        <v/>
      </c>
      <c r="R5" s="114">
        <f>SUMIFS('Kosten | Costs'!$D$34:$D$63,'Kosten | Costs'!$E$34:$E$63,"&gt;="&amp;M5,'Kosten | Costs'!$E$34:$E$63,"&lt;="&amp;N5)</f>
        <v/>
      </c>
      <c r="S5" s="114">
        <f>IF(VATON=0,0,IF(AND(DATE(YEAR(M5),MONTH(M5),VATDAY)&gt;=M5,DATE(YEAR(M5),MONTH(M5),VATDAY)&lt;=N5),SUMIFS('Rechnungen | Invoices'!$P$9:$P$108,'Rechnungen | Invoices'!$H$9:$H$108,"&gt;="&amp;DATE(YEAR(M5),MONTH(M5)-1,1),'Rechnungen | Invoices'!$H$9:$H$108,"&lt;="&amp;DATE(YEAR(M5),MONTH(M5),1)-1),0)+IF(AND(MONTH(M5)&lt;&gt;MONTH(N5),DATE(YEAR(N5),MONTH(N5),VATDAY)&gt;=M5,DATE(YEAR(N5),MONTH(N5),VATDAY)&lt;=N5),SUMIFS('Rechnungen | Invoices'!$P$9:$P$108,'Rechnungen | Invoices'!$H$9:$H$108,"&gt;="&amp;DATE(YEAR(N5),MONTH(N5)-1,1),'Rechnungen | Invoices'!$H$9:$H$108,"&lt;="&amp;DATE(YEAR(N5),MONTH(N5),1)-1),0))</f>
        <v/>
      </c>
      <c r="T5" s="114">
        <f>Q5+R5+S5</f>
        <v/>
      </c>
      <c r="U5" s="114">
        <f>OPENBAL+O5-T5</f>
        <v/>
      </c>
      <c r="V5" s="114">
        <f>OPENBAL+P5-T5</f>
        <v/>
      </c>
      <c r="W5">
        <f>IF(V5&lt;MINCASH,2,IF(V5&lt;MINCASH*YELLOWF,1,0))</f>
        <v/>
      </c>
      <c r="X5" s="114">
        <f>MINCASH</f>
        <v/>
      </c>
      <c r="Y5">
        <f>INDEX(Config!$B$6:$C$104,MATCH("lbl.week",Config!$A$6:$A$104,0),LANG)&amp;" "&amp;ISOWEEKNUM(M5)</f>
        <v/>
      </c>
      <c r="AA5">
        <f>IF('Kosten | Costs'!$E$9="",1,MIN(28,MAX(1,'Kosten | Costs'!$E$9)))</f>
        <v/>
      </c>
      <c r="AB5">
        <f>IF(N('Kosten | Costs'!$D$9)=0,0,IF(OR(AND(DATE(YEAR(AB$3),MONTH(AB$3),$AA5)&gt;=AB$3,DATE(YEAR(AB$3),MONTH(AB$3),$AA5)&lt;=AB$4),AND(DATE(YEAR(AB$4),MONTH(AB$4),$AA5)&gt;=AB$3,DATE(YEAR(AB$4),MONTH(AB$4),$AA5)&lt;=AB$4)),'Kosten | Costs'!$D$9,0))</f>
        <v/>
      </c>
      <c r="AC5">
        <f>IF(N('Kosten | Costs'!$D$9)=0,0,IF(OR(AND(DATE(YEAR(AC$3),MONTH(AC$3),$AA5)&gt;=AC$3,DATE(YEAR(AC$3),MONTH(AC$3),$AA5)&lt;=AC$4),AND(DATE(YEAR(AC$4),MONTH(AC$4),$AA5)&gt;=AC$3,DATE(YEAR(AC$4),MONTH(AC$4),$AA5)&lt;=AC$4)),'Kosten | Costs'!$D$9,0))</f>
        <v/>
      </c>
      <c r="AD5">
        <f>IF(N('Kosten | Costs'!$D$9)=0,0,IF(OR(AND(DATE(YEAR(AD$3),MONTH(AD$3),$AA5)&gt;=AD$3,DATE(YEAR(AD$3),MONTH(AD$3),$AA5)&lt;=AD$4),AND(DATE(YEAR(AD$4),MONTH(AD$4),$AA5)&gt;=AD$3,DATE(YEAR(AD$4),MONTH(AD$4),$AA5)&lt;=AD$4)),'Kosten | Costs'!$D$9,0))</f>
        <v/>
      </c>
      <c r="AE5">
        <f>IF(N('Kosten | Costs'!$D$9)=0,0,IF(OR(AND(DATE(YEAR(AE$3),MONTH(AE$3),$AA5)&gt;=AE$3,DATE(YEAR(AE$3),MONTH(AE$3),$AA5)&lt;=AE$4),AND(DATE(YEAR(AE$4),MONTH(AE$4),$AA5)&gt;=AE$3,DATE(YEAR(AE$4),MONTH(AE$4),$AA5)&lt;=AE$4)),'Kosten | Costs'!$D$9,0))</f>
        <v/>
      </c>
      <c r="AF5">
        <f>IF(N('Kosten | Costs'!$D$9)=0,0,IF(OR(AND(DATE(YEAR(AF$3),MONTH(AF$3),$AA5)&gt;=AF$3,DATE(YEAR(AF$3),MONTH(AF$3),$AA5)&lt;=AF$4),AND(DATE(YEAR(AF$4),MONTH(AF$4),$AA5)&gt;=AF$3,DATE(YEAR(AF$4),MONTH(AF$4),$AA5)&lt;=AF$4)),'Kosten | Costs'!$D$9,0))</f>
        <v/>
      </c>
      <c r="AG5">
        <f>IF(N('Kosten | Costs'!$D$9)=0,0,IF(OR(AND(DATE(YEAR(AG$3),MONTH(AG$3),$AA5)&gt;=AG$3,DATE(YEAR(AG$3),MONTH(AG$3),$AA5)&lt;=AG$4),AND(DATE(YEAR(AG$4),MONTH(AG$4),$AA5)&gt;=AG$3,DATE(YEAR(AG$4),MONTH(AG$4),$AA5)&lt;=AG$4)),'Kosten | Costs'!$D$9,0))</f>
        <v/>
      </c>
      <c r="AH5">
        <f>IF(N('Kosten | Costs'!$D$9)=0,0,IF(OR(AND(DATE(YEAR(AH$3),MONTH(AH$3),$AA5)&gt;=AH$3,DATE(YEAR(AH$3),MONTH(AH$3),$AA5)&lt;=AH$4),AND(DATE(YEAR(AH$4),MONTH(AH$4),$AA5)&gt;=AH$3,DATE(YEAR(AH$4),MONTH(AH$4),$AA5)&lt;=AH$4)),'Kosten | Costs'!$D$9,0))</f>
        <v/>
      </c>
      <c r="AI5">
        <f>IF(N('Kosten | Costs'!$D$9)=0,0,IF(OR(AND(DATE(YEAR(AI$3),MONTH(AI$3),$AA5)&gt;=AI$3,DATE(YEAR(AI$3),MONTH(AI$3),$AA5)&lt;=AI$4),AND(DATE(YEAR(AI$4),MONTH(AI$4),$AA5)&gt;=AI$3,DATE(YEAR(AI$4),MONTH(AI$4),$AA5)&lt;=AI$4)),'Kosten | Costs'!$D$9,0))</f>
        <v/>
      </c>
      <c r="AJ5">
        <f>IF(N('Kosten | Costs'!$D$9)=0,0,IF(OR(AND(DATE(YEAR(AJ$3),MONTH(AJ$3),$AA5)&gt;=AJ$3,DATE(YEAR(AJ$3),MONTH(AJ$3),$AA5)&lt;=AJ$4),AND(DATE(YEAR(AJ$4),MONTH(AJ$4),$AA5)&gt;=AJ$3,DATE(YEAR(AJ$4),MONTH(AJ$4),$AA5)&lt;=AJ$4)),'Kosten | Costs'!$D$9,0))</f>
        <v/>
      </c>
      <c r="AK5">
        <f>IF(N('Kosten | Costs'!$D$9)=0,0,IF(OR(AND(DATE(YEAR(AK$3),MONTH(AK$3),$AA5)&gt;=AK$3,DATE(YEAR(AK$3),MONTH(AK$3),$AA5)&lt;=AK$4),AND(DATE(YEAR(AK$4),MONTH(AK$4),$AA5)&gt;=AK$3,DATE(YEAR(AK$4),MONTH(AK$4),$AA5)&lt;=AK$4)),'Kosten | Costs'!$D$9,0))</f>
        <v/>
      </c>
      <c r="AL5">
        <f>IF(N('Kosten | Costs'!$D$9)=0,0,IF(OR(AND(DATE(YEAR(AL$3),MONTH(AL$3),$AA5)&gt;=AL$3,DATE(YEAR(AL$3),MONTH(AL$3),$AA5)&lt;=AL$4),AND(DATE(YEAR(AL$4),MONTH(AL$4),$AA5)&gt;=AL$3,DATE(YEAR(AL$4),MONTH(AL$4),$AA5)&lt;=AL$4)),'Kosten | Costs'!$D$9,0))</f>
        <v/>
      </c>
      <c r="AM5">
        <f>IF(N('Kosten | Costs'!$D$9)=0,0,IF(OR(AND(DATE(YEAR(AM$3),MONTH(AM$3),$AA5)&gt;=AM$3,DATE(YEAR(AM$3),MONTH(AM$3),$AA5)&lt;=AM$4),AND(DATE(YEAR(AM$4),MONTH(AM$4),$AA5)&gt;=AM$3,DATE(YEAR(AM$4),MONTH(AM$4),$AA5)&lt;=AM$4)),'Kosten | Costs'!$D$9,0))</f>
        <v/>
      </c>
    </row>
    <row r="6">
      <c r="A6" s="107" t="inlineStr">
        <is>
          <t>app.title</t>
        </is>
      </c>
      <c r="B6" s="113" t="inlineStr">
        <is>
          <t>Cashflow-Frühwarnsystem</t>
        </is>
      </c>
      <c r="C6" s="113" t="inlineStr">
        <is>
          <t>Cashflow Early Warning System</t>
        </is>
      </c>
      <c r="F6" s="113" t="inlineStr">
        <is>
          <t>bezahlt</t>
        </is>
      </c>
      <c r="G6" s="113" t="inlineStr">
        <is>
          <t>paid</t>
        </is>
      </c>
      <c r="H6" s="113">
        <f>INDEX(F6:G6,LANG)</f>
        <v/>
      </c>
      <c r="J6" s="113">
        <f>IFERROR(INDEX('Rechnungen | Invoices'!$C$9:$C$108,MATCH(0,INDEX(COUNTIF($J$4:J5,'Rechnungen | Invoices'!$C$9:$C$108)+('Rechnungen | Invoices'!$C$9:$C$108=""),0),0)),"")</f>
        <v/>
      </c>
      <c r="L6" t="n">
        <v>2</v>
      </c>
      <c r="M6" s="109">
        <f>M5+7</f>
        <v/>
      </c>
      <c r="N6" s="109">
        <f>M6+6</f>
        <v/>
      </c>
      <c r="O6" s="114">
        <f>SUMIFS('Rechnungen | Invoices'!$Q$9:$Q$108,'Rechnungen | Invoices'!$R$9:$R$108,"&gt;="&amp;M6,'Rechnungen | Invoices'!$R$9:$R$108,"&lt;="&amp;N6)</f>
        <v/>
      </c>
      <c r="P6" s="114">
        <f>SUMIFS('Rechnungen | Invoices'!$S$9:$S$108,'Rechnungen | Invoices'!$L$9:$L$108,"&gt;="&amp;M6,'Rechnungen | Invoices'!$L$9:$L$108,"&lt;="&amp;N6)</f>
        <v/>
      </c>
      <c r="Q6" s="114">
        <f>AC$25</f>
        <v/>
      </c>
      <c r="R6" s="114">
        <f>SUMIFS('Kosten | Costs'!$D$34:$D$63,'Kosten | Costs'!$E$34:$E$63,"&gt;="&amp;M6,'Kosten | Costs'!$E$34:$E$63,"&lt;="&amp;N6)</f>
        <v/>
      </c>
      <c r="S6" s="114">
        <f>IF(VATON=0,0,IF(AND(DATE(YEAR(M6),MONTH(M6),VATDAY)&gt;=M6,DATE(YEAR(M6),MONTH(M6),VATDAY)&lt;=N6),SUMIFS('Rechnungen | Invoices'!$P$9:$P$108,'Rechnungen | Invoices'!$H$9:$H$108,"&gt;="&amp;DATE(YEAR(M6),MONTH(M6)-1,1),'Rechnungen | Invoices'!$H$9:$H$108,"&lt;="&amp;DATE(YEAR(M6),MONTH(M6),1)-1),0)+IF(AND(MONTH(M6)&lt;&gt;MONTH(N6),DATE(YEAR(N6),MONTH(N6),VATDAY)&gt;=M6,DATE(YEAR(N6),MONTH(N6),VATDAY)&lt;=N6),SUMIFS('Rechnungen | Invoices'!$P$9:$P$108,'Rechnungen | Invoices'!$H$9:$H$108,"&gt;="&amp;DATE(YEAR(N6),MONTH(N6)-1,1),'Rechnungen | Invoices'!$H$9:$H$108,"&lt;="&amp;DATE(YEAR(N6),MONTH(N6),1)-1),0))</f>
        <v/>
      </c>
      <c r="T6" s="114">
        <f>Q6+R6+S6</f>
        <v/>
      </c>
      <c r="U6" s="114">
        <f>U5+O6-T6</f>
        <v/>
      </c>
      <c r="V6" s="114">
        <f>V5+P6-T6</f>
        <v/>
      </c>
      <c r="W6">
        <f>IF(V6&lt;MINCASH,2,IF(V6&lt;MINCASH*YELLOWF,1,0))</f>
        <v/>
      </c>
      <c r="X6" s="114">
        <f>MINCASH</f>
        <v/>
      </c>
      <c r="Y6">
        <f>INDEX(Config!$B$6:$C$104,MATCH("lbl.week",Config!$A$6:$A$104,0),LANG)&amp;" "&amp;ISOWEEKNUM(M6)</f>
        <v/>
      </c>
      <c r="AA6">
        <f>IF('Kosten | Costs'!$E$10="",1,MIN(28,MAX(1,'Kosten | Costs'!$E$10)))</f>
        <v/>
      </c>
      <c r="AB6">
        <f>IF(N('Kosten | Costs'!$D$10)=0,0,IF(OR(AND(DATE(YEAR(AB$3),MONTH(AB$3),$AA6)&gt;=AB$3,DATE(YEAR(AB$3),MONTH(AB$3),$AA6)&lt;=AB$4),AND(DATE(YEAR(AB$4),MONTH(AB$4),$AA6)&gt;=AB$3,DATE(YEAR(AB$4),MONTH(AB$4),$AA6)&lt;=AB$4)),'Kosten | Costs'!$D$10,0))</f>
        <v/>
      </c>
      <c r="AC6">
        <f>IF(N('Kosten | Costs'!$D$10)=0,0,IF(OR(AND(DATE(YEAR(AC$3),MONTH(AC$3),$AA6)&gt;=AC$3,DATE(YEAR(AC$3),MONTH(AC$3),$AA6)&lt;=AC$4),AND(DATE(YEAR(AC$4),MONTH(AC$4),$AA6)&gt;=AC$3,DATE(YEAR(AC$4),MONTH(AC$4),$AA6)&lt;=AC$4)),'Kosten | Costs'!$D$10,0))</f>
        <v/>
      </c>
      <c r="AD6">
        <f>IF(N('Kosten | Costs'!$D$10)=0,0,IF(OR(AND(DATE(YEAR(AD$3),MONTH(AD$3),$AA6)&gt;=AD$3,DATE(YEAR(AD$3),MONTH(AD$3),$AA6)&lt;=AD$4),AND(DATE(YEAR(AD$4),MONTH(AD$4),$AA6)&gt;=AD$3,DATE(YEAR(AD$4),MONTH(AD$4),$AA6)&lt;=AD$4)),'Kosten | Costs'!$D$10,0))</f>
        <v/>
      </c>
      <c r="AE6">
        <f>IF(N('Kosten | Costs'!$D$10)=0,0,IF(OR(AND(DATE(YEAR(AE$3),MONTH(AE$3),$AA6)&gt;=AE$3,DATE(YEAR(AE$3),MONTH(AE$3),$AA6)&lt;=AE$4),AND(DATE(YEAR(AE$4),MONTH(AE$4),$AA6)&gt;=AE$3,DATE(YEAR(AE$4),MONTH(AE$4),$AA6)&lt;=AE$4)),'Kosten | Costs'!$D$10,0))</f>
        <v/>
      </c>
      <c r="AF6">
        <f>IF(N('Kosten | Costs'!$D$10)=0,0,IF(OR(AND(DATE(YEAR(AF$3),MONTH(AF$3),$AA6)&gt;=AF$3,DATE(YEAR(AF$3),MONTH(AF$3),$AA6)&lt;=AF$4),AND(DATE(YEAR(AF$4),MONTH(AF$4),$AA6)&gt;=AF$3,DATE(YEAR(AF$4),MONTH(AF$4),$AA6)&lt;=AF$4)),'Kosten | Costs'!$D$10,0))</f>
        <v/>
      </c>
      <c r="AG6">
        <f>IF(N('Kosten | Costs'!$D$10)=0,0,IF(OR(AND(DATE(YEAR(AG$3),MONTH(AG$3),$AA6)&gt;=AG$3,DATE(YEAR(AG$3),MONTH(AG$3),$AA6)&lt;=AG$4),AND(DATE(YEAR(AG$4),MONTH(AG$4),$AA6)&gt;=AG$3,DATE(YEAR(AG$4),MONTH(AG$4),$AA6)&lt;=AG$4)),'Kosten | Costs'!$D$10,0))</f>
        <v/>
      </c>
      <c r="AH6">
        <f>IF(N('Kosten | Costs'!$D$10)=0,0,IF(OR(AND(DATE(YEAR(AH$3),MONTH(AH$3),$AA6)&gt;=AH$3,DATE(YEAR(AH$3),MONTH(AH$3),$AA6)&lt;=AH$4),AND(DATE(YEAR(AH$4),MONTH(AH$4),$AA6)&gt;=AH$3,DATE(YEAR(AH$4),MONTH(AH$4),$AA6)&lt;=AH$4)),'Kosten | Costs'!$D$10,0))</f>
        <v/>
      </c>
      <c r="AI6">
        <f>IF(N('Kosten | Costs'!$D$10)=0,0,IF(OR(AND(DATE(YEAR(AI$3),MONTH(AI$3),$AA6)&gt;=AI$3,DATE(YEAR(AI$3),MONTH(AI$3),$AA6)&lt;=AI$4),AND(DATE(YEAR(AI$4),MONTH(AI$4),$AA6)&gt;=AI$3,DATE(YEAR(AI$4),MONTH(AI$4),$AA6)&lt;=AI$4)),'Kosten | Costs'!$D$10,0))</f>
        <v/>
      </c>
      <c r="AJ6">
        <f>IF(N('Kosten | Costs'!$D$10)=0,0,IF(OR(AND(DATE(YEAR(AJ$3),MONTH(AJ$3),$AA6)&gt;=AJ$3,DATE(YEAR(AJ$3),MONTH(AJ$3),$AA6)&lt;=AJ$4),AND(DATE(YEAR(AJ$4),MONTH(AJ$4),$AA6)&gt;=AJ$3,DATE(YEAR(AJ$4),MONTH(AJ$4),$AA6)&lt;=AJ$4)),'Kosten | Costs'!$D$10,0))</f>
        <v/>
      </c>
      <c r="AK6">
        <f>IF(N('Kosten | Costs'!$D$10)=0,0,IF(OR(AND(DATE(YEAR(AK$3),MONTH(AK$3),$AA6)&gt;=AK$3,DATE(YEAR(AK$3),MONTH(AK$3),$AA6)&lt;=AK$4),AND(DATE(YEAR(AK$4),MONTH(AK$4),$AA6)&gt;=AK$3,DATE(YEAR(AK$4),MONTH(AK$4),$AA6)&lt;=AK$4)),'Kosten | Costs'!$D$10,0))</f>
        <v/>
      </c>
      <c r="AL6">
        <f>IF(N('Kosten | Costs'!$D$10)=0,0,IF(OR(AND(DATE(YEAR(AL$3),MONTH(AL$3),$AA6)&gt;=AL$3,DATE(YEAR(AL$3),MONTH(AL$3),$AA6)&lt;=AL$4),AND(DATE(YEAR(AL$4),MONTH(AL$4),$AA6)&gt;=AL$3,DATE(YEAR(AL$4),MONTH(AL$4),$AA6)&lt;=AL$4)),'Kosten | Costs'!$D$10,0))</f>
        <v/>
      </c>
      <c r="AM6">
        <f>IF(N('Kosten | Costs'!$D$10)=0,0,IF(OR(AND(DATE(YEAR(AM$3),MONTH(AM$3),$AA6)&gt;=AM$3,DATE(YEAR(AM$3),MONTH(AM$3),$AA6)&lt;=AM$4),AND(DATE(YEAR(AM$4),MONTH(AM$4),$AA6)&gt;=AM$3,DATE(YEAR(AM$4),MONTH(AM$4),$AA6)&lt;=AM$4)),'Kosten | Costs'!$D$10,0))</f>
        <v/>
      </c>
    </row>
    <row r="7">
      <c r="A7" s="107" t="inlineStr">
        <is>
          <t>app.sub</t>
        </is>
      </c>
      <c r="B7" s="113" t="inlineStr">
        <is>
          <t>Liquiditätsplanung für Kleinunternehmer und Selbstständige</t>
        </is>
      </c>
      <c r="C7" s="113" t="inlineStr">
        <is>
          <t>Liquidity planning for small businesses and freelancers</t>
        </is>
      </c>
      <c r="J7" s="113">
        <f>IFERROR(INDEX('Rechnungen | Invoices'!$C$9:$C$108,MATCH(0,INDEX(COUNTIF($J$4:J6,'Rechnungen | Invoices'!$C$9:$C$108)+('Rechnungen | Invoices'!$C$9:$C$108=""),0),0)),"")</f>
        <v/>
      </c>
      <c r="L7" t="n">
        <v>3</v>
      </c>
      <c r="M7" s="109">
        <f>M6+7</f>
        <v/>
      </c>
      <c r="N7" s="109">
        <f>M7+6</f>
        <v/>
      </c>
      <c r="O7" s="114">
        <f>SUMIFS('Rechnungen | Invoices'!$Q$9:$Q$108,'Rechnungen | Invoices'!$R$9:$R$108,"&gt;="&amp;M7,'Rechnungen | Invoices'!$R$9:$R$108,"&lt;="&amp;N7)</f>
        <v/>
      </c>
      <c r="P7" s="114">
        <f>SUMIFS('Rechnungen | Invoices'!$S$9:$S$108,'Rechnungen | Invoices'!$L$9:$L$108,"&gt;="&amp;M7,'Rechnungen | Invoices'!$L$9:$L$108,"&lt;="&amp;N7)</f>
        <v/>
      </c>
      <c r="Q7" s="114">
        <f>AD$25</f>
        <v/>
      </c>
      <c r="R7" s="114">
        <f>SUMIFS('Kosten | Costs'!$D$34:$D$63,'Kosten | Costs'!$E$34:$E$63,"&gt;="&amp;M7,'Kosten | Costs'!$E$34:$E$63,"&lt;="&amp;N7)</f>
        <v/>
      </c>
      <c r="S7" s="114">
        <f>IF(VATON=0,0,IF(AND(DATE(YEAR(M7),MONTH(M7),VATDAY)&gt;=M7,DATE(YEAR(M7),MONTH(M7),VATDAY)&lt;=N7),SUMIFS('Rechnungen | Invoices'!$P$9:$P$108,'Rechnungen | Invoices'!$H$9:$H$108,"&gt;="&amp;DATE(YEAR(M7),MONTH(M7)-1,1),'Rechnungen | Invoices'!$H$9:$H$108,"&lt;="&amp;DATE(YEAR(M7),MONTH(M7),1)-1),0)+IF(AND(MONTH(M7)&lt;&gt;MONTH(N7),DATE(YEAR(N7),MONTH(N7),VATDAY)&gt;=M7,DATE(YEAR(N7),MONTH(N7),VATDAY)&lt;=N7),SUMIFS('Rechnungen | Invoices'!$P$9:$P$108,'Rechnungen | Invoices'!$H$9:$H$108,"&gt;="&amp;DATE(YEAR(N7),MONTH(N7)-1,1),'Rechnungen | Invoices'!$H$9:$H$108,"&lt;="&amp;DATE(YEAR(N7),MONTH(N7),1)-1),0))</f>
        <v/>
      </c>
      <c r="T7" s="114">
        <f>Q7+R7+S7</f>
        <v/>
      </c>
      <c r="U7" s="114">
        <f>U6+O7-T7</f>
        <v/>
      </c>
      <c r="V7" s="114">
        <f>V6+P7-T7</f>
        <v/>
      </c>
      <c r="W7">
        <f>IF(V7&lt;MINCASH,2,IF(V7&lt;MINCASH*YELLOWF,1,0))</f>
        <v/>
      </c>
      <c r="X7" s="114">
        <f>MINCASH</f>
        <v/>
      </c>
      <c r="Y7">
        <f>INDEX(Config!$B$6:$C$104,MATCH("lbl.week",Config!$A$6:$A$104,0),LANG)&amp;" "&amp;ISOWEEKNUM(M7)</f>
        <v/>
      </c>
      <c r="AA7">
        <f>IF('Kosten | Costs'!$E$11="",1,MIN(28,MAX(1,'Kosten | Costs'!$E$11)))</f>
        <v/>
      </c>
      <c r="AB7">
        <f>IF(N('Kosten | Costs'!$D$11)=0,0,IF(OR(AND(DATE(YEAR(AB$3),MONTH(AB$3),$AA7)&gt;=AB$3,DATE(YEAR(AB$3),MONTH(AB$3),$AA7)&lt;=AB$4),AND(DATE(YEAR(AB$4),MONTH(AB$4),$AA7)&gt;=AB$3,DATE(YEAR(AB$4),MONTH(AB$4),$AA7)&lt;=AB$4)),'Kosten | Costs'!$D$11,0))</f>
        <v/>
      </c>
      <c r="AC7">
        <f>IF(N('Kosten | Costs'!$D$11)=0,0,IF(OR(AND(DATE(YEAR(AC$3),MONTH(AC$3),$AA7)&gt;=AC$3,DATE(YEAR(AC$3),MONTH(AC$3),$AA7)&lt;=AC$4),AND(DATE(YEAR(AC$4),MONTH(AC$4),$AA7)&gt;=AC$3,DATE(YEAR(AC$4),MONTH(AC$4),$AA7)&lt;=AC$4)),'Kosten | Costs'!$D$11,0))</f>
        <v/>
      </c>
      <c r="AD7">
        <f>IF(N('Kosten | Costs'!$D$11)=0,0,IF(OR(AND(DATE(YEAR(AD$3),MONTH(AD$3),$AA7)&gt;=AD$3,DATE(YEAR(AD$3),MONTH(AD$3),$AA7)&lt;=AD$4),AND(DATE(YEAR(AD$4),MONTH(AD$4),$AA7)&gt;=AD$3,DATE(YEAR(AD$4),MONTH(AD$4),$AA7)&lt;=AD$4)),'Kosten | Costs'!$D$11,0))</f>
        <v/>
      </c>
      <c r="AE7">
        <f>IF(N('Kosten | Costs'!$D$11)=0,0,IF(OR(AND(DATE(YEAR(AE$3),MONTH(AE$3),$AA7)&gt;=AE$3,DATE(YEAR(AE$3),MONTH(AE$3),$AA7)&lt;=AE$4),AND(DATE(YEAR(AE$4),MONTH(AE$4),$AA7)&gt;=AE$3,DATE(YEAR(AE$4),MONTH(AE$4),$AA7)&lt;=AE$4)),'Kosten | Costs'!$D$11,0))</f>
        <v/>
      </c>
      <c r="AF7">
        <f>IF(N('Kosten | Costs'!$D$11)=0,0,IF(OR(AND(DATE(YEAR(AF$3),MONTH(AF$3),$AA7)&gt;=AF$3,DATE(YEAR(AF$3),MONTH(AF$3),$AA7)&lt;=AF$4),AND(DATE(YEAR(AF$4),MONTH(AF$4),$AA7)&gt;=AF$3,DATE(YEAR(AF$4),MONTH(AF$4),$AA7)&lt;=AF$4)),'Kosten | Costs'!$D$11,0))</f>
        <v/>
      </c>
      <c r="AG7">
        <f>IF(N('Kosten | Costs'!$D$11)=0,0,IF(OR(AND(DATE(YEAR(AG$3),MONTH(AG$3),$AA7)&gt;=AG$3,DATE(YEAR(AG$3),MONTH(AG$3),$AA7)&lt;=AG$4),AND(DATE(YEAR(AG$4),MONTH(AG$4),$AA7)&gt;=AG$3,DATE(YEAR(AG$4),MONTH(AG$4),$AA7)&lt;=AG$4)),'Kosten | Costs'!$D$11,0))</f>
        <v/>
      </c>
      <c r="AH7">
        <f>IF(N('Kosten | Costs'!$D$11)=0,0,IF(OR(AND(DATE(YEAR(AH$3),MONTH(AH$3),$AA7)&gt;=AH$3,DATE(YEAR(AH$3),MONTH(AH$3),$AA7)&lt;=AH$4),AND(DATE(YEAR(AH$4),MONTH(AH$4),$AA7)&gt;=AH$3,DATE(YEAR(AH$4),MONTH(AH$4),$AA7)&lt;=AH$4)),'Kosten | Costs'!$D$11,0))</f>
        <v/>
      </c>
      <c r="AI7">
        <f>IF(N('Kosten | Costs'!$D$11)=0,0,IF(OR(AND(DATE(YEAR(AI$3),MONTH(AI$3),$AA7)&gt;=AI$3,DATE(YEAR(AI$3),MONTH(AI$3),$AA7)&lt;=AI$4),AND(DATE(YEAR(AI$4),MONTH(AI$4),$AA7)&gt;=AI$3,DATE(YEAR(AI$4),MONTH(AI$4),$AA7)&lt;=AI$4)),'Kosten | Costs'!$D$11,0))</f>
        <v/>
      </c>
      <c r="AJ7">
        <f>IF(N('Kosten | Costs'!$D$11)=0,0,IF(OR(AND(DATE(YEAR(AJ$3),MONTH(AJ$3),$AA7)&gt;=AJ$3,DATE(YEAR(AJ$3),MONTH(AJ$3),$AA7)&lt;=AJ$4),AND(DATE(YEAR(AJ$4),MONTH(AJ$4),$AA7)&gt;=AJ$3,DATE(YEAR(AJ$4),MONTH(AJ$4),$AA7)&lt;=AJ$4)),'Kosten | Costs'!$D$11,0))</f>
        <v/>
      </c>
      <c r="AK7">
        <f>IF(N('Kosten | Costs'!$D$11)=0,0,IF(OR(AND(DATE(YEAR(AK$3),MONTH(AK$3),$AA7)&gt;=AK$3,DATE(YEAR(AK$3),MONTH(AK$3),$AA7)&lt;=AK$4),AND(DATE(YEAR(AK$4),MONTH(AK$4),$AA7)&gt;=AK$3,DATE(YEAR(AK$4),MONTH(AK$4),$AA7)&lt;=AK$4)),'Kosten | Costs'!$D$11,0))</f>
        <v/>
      </c>
      <c r="AL7">
        <f>IF(N('Kosten | Costs'!$D$11)=0,0,IF(OR(AND(DATE(YEAR(AL$3),MONTH(AL$3),$AA7)&gt;=AL$3,DATE(YEAR(AL$3),MONTH(AL$3),$AA7)&lt;=AL$4),AND(DATE(YEAR(AL$4),MONTH(AL$4),$AA7)&gt;=AL$3,DATE(YEAR(AL$4),MONTH(AL$4),$AA7)&lt;=AL$4)),'Kosten | Costs'!$D$11,0))</f>
        <v/>
      </c>
      <c r="AM7">
        <f>IF(N('Kosten | Costs'!$D$11)=0,0,IF(OR(AND(DATE(YEAR(AM$3),MONTH(AM$3),$AA7)&gt;=AM$3,DATE(YEAR(AM$3),MONTH(AM$3),$AA7)&lt;=AM$4),AND(DATE(YEAR(AM$4),MONTH(AM$4),$AA7)&gt;=AM$3,DATE(YEAR(AM$4),MONTH(AM$4),$AA7)&lt;=AM$4)),'Kosten | Costs'!$D$11,0))</f>
        <v/>
      </c>
    </row>
    <row r="8">
      <c r="A8" s="107" t="inlineStr">
        <is>
          <t>ui.language</t>
        </is>
      </c>
      <c r="B8" s="113" t="inlineStr">
        <is>
          <t>Sprache / Language</t>
        </is>
      </c>
      <c r="C8" s="113" t="inlineStr">
        <is>
          <t>Sprache / Language</t>
        </is>
      </c>
      <c r="F8" s="113" t="inlineStr">
        <is>
          <t>Ja</t>
        </is>
      </c>
      <c r="G8" s="113" t="inlineStr">
        <is>
          <t>Yes</t>
        </is>
      </c>
      <c r="H8" s="113">
        <f>INDEX(F8:G8,LANG)</f>
        <v/>
      </c>
      <c r="J8" s="113">
        <f>IFERROR(INDEX('Rechnungen | Invoices'!$C$9:$C$108,MATCH(0,INDEX(COUNTIF($J$4:J7,'Rechnungen | Invoices'!$C$9:$C$108)+('Rechnungen | Invoices'!$C$9:$C$108=""),0),0)),"")</f>
        <v/>
      </c>
      <c r="L8" t="n">
        <v>4</v>
      </c>
      <c r="M8" s="109">
        <f>M7+7</f>
        <v/>
      </c>
      <c r="N8" s="109">
        <f>M8+6</f>
        <v/>
      </c>
      <c r="O8" s="114">
        <f>SUMIFS('Rechnungen | Invoices'!$Q$9:$Q$108,'Rechnungen | Invoices'!$R$9:$R$108,"&gt;="&amp;M8,'Rechnungen | Invoices'!$R$9:$R$108,"&lt;="&amp;N8)</f>
        <v/>
      </c>
      <c r="P8" s="114">
        <f>SUMIFS('Rechnungen | Invoices'!$S$9:$S$108,'Rechnungen | Invoices'!$L$9:$L$108,"&gt;="&amp;M8,'Rechnungen | Invoices'!$L$9:$L$108,"&lt;="&amp;N8)</f>
        <v/>
      </c>
      <c r="Q8" s="114">
        <f>AE$25</f>
        <v/>
      </c>
      <c r="R8" s="114">
        <f>SUMIFS('Kosten | Costs'!$D$34:$D$63,'Kosten | Costs'!$E$34:$E$63,"&gt;="&amp;M8,'Kosten | Costs'!$E$34:$E$63,"&lt;="&amp;N8)</f>
        <v/>
      </c>
      <c r="S8" s="114">
        <f>IF(VATON=0,0,IF(AND(DATE(YEAR(M8),MONTH(M8),VATDAY)&gt;=M8,DATE(YEAR(M8),MONTH(M8),VATDAY)&lt;=N8),SUMIFS('Rechnungen | Invoices'!$P$9:$P$108,'Rechnungen | Invoices'!$H$9:$H$108,"&gt;="&amp;DATE(YEAR(M8),MONTH(M8)-1,1),'Rechnungen | Invoices'!$H$9:$H$108,"&lt;="&amp;DATE(YEAR(M8),MONTH(M8),1)-1),0)+IF(AND(MONTH(M8)&lt;&gt;MONTH(N8),DATE(YEAR(N8),MONTH(N8),VATDAY)&gt;=M8,DATE(YEAR(N8),MONTH(N8),VATDAY)&lt;=N8),SUMIFS('Rechnungen | Invoices'!$P$9:$P$108,'Rechnungen | Invoices'!$H$9:$H$108,"&gt;="&amp;DATE(YEAR(N8),MONTH(N8)-1,1),'Rechnungen | Invoices'!$H$9:$H$108,"&lt;="&amp;DATE(YEAR(N8),MONTH(N8),1)-1),0))</f>
        <v/>
      </c>
      <c r="T8" s="114">
        <f>Q8+R8+S8</f>
        <v/>
      </c>
      <c r="U8" s="114">
        <f>U7+O8-T8</f>
        <v/>
      </c>
      <c r="V8" s="114">
        <f>V7+P8-T8</f>
        <v/>
      </c>
      <c r="W8">
        <f>IF(V8&lt;MINCASH,2,IF(V8&lt;MINCASH*YELLOWF,1,0))</f>
        <v/>
      </c>
      <c r="X8" s="114">
        <f>MINCASH</f>
        <v/>
      </c>
      <c r="Y8">
        <f>INDEX(Config!$B$6:$C$104,MATCH("lbl.week",Config!$A$6:$A$104,0),LANG)&amp;" "&amp;ISOWEEKNUM(M8)</f>
        <v/>
      </c>
      <c r="AA8">
        <f>IF('Kosten | Costs'!$E$12="",1,MIN(28,MAX(1,'Kosten | Costs'!$E$12)))</f>
        <v/>
      </c>
      <c r="AB8">
        <f>IF(N('Kosten | Costs'!$D$12)=0,0,IF(OR(AND(DATE(YEAR(AB$3),MONTH(AB$3),$AA8)&gt;=AB$3,DATE(YEAR(AB$3),MONTH(AB$3),$AA8)&lt;=AB$4),AND(DATE(YEAR(AB$4),MONTH(AB$4),$AA8)&gt;=AB$3,DATE(YEAR(AB$4),MONTH(AB$4),$AA8)&lt;=AB$4)),'Kosten | Costs'!$D$12,0))</f>
        <v/>
      </c>
      <c r="AC8">
        <f>IF(N('Kosten | Costs'!$D$12)=0,0,IF(OR(AND(DATE(YEAR(AC$3),MONTH(AC$3),$AA8)&gt;=AC$3,DATE(YEAR(AC$3),MONTH(AC$3),$AA8)&lt;=AC$4),AND(DATE(YEAR(AC$4),MONTH(AC$4),$AA8)&gt;=AC$3,DATE(YEAR(AC$4),MONTH(AC$4),$AA8)&lt;=AC$4)),'Kosten | Costs'!$D$12,0))</f>
        <v/>
      </c>
      <c r="AD8">
        <f>IF(N('Kosten | Costs'!$D$12)=0,0,IF(OR(AND(DATE(YEAR(AD$3),MONTH(AD$3),$AA8)&gt;=AD$3,DATE(YEAR(AD$3),MONTH(AD$3),$AA8)&lt;=AD$4),AND(DATE(YEAR(AD$4),MONTH(AD$4),$AA8)&gt;=AD$3,DATE(YEAR(AD$4),MONTH(AD$4),$AA8)&lt;=AD$4)),'Kosten | Costs'!$D$12,0))</f>
        <v/>
      </c>
      <c r="AE8">
        <f>IF(N('Kosten | Costs'!$D$12)=0,0,IF(OR(AND(DATE(YEAR(AE$3),MONTH(AE$3),$AA8)&gt;=AE$3,DATE(YEAR(AE$3),MONTH(AE$3),$AA8)&lt;=AE$4),AND(DATE(YEAR(AE$4),MONTH(AE$4),$AA8)&gt;=AE$3,DATE(YEAR(AE$4),MONTH(AE$4),$AA8)&lt;=AE$4)),'Kosten | Costs'!$D$12,0))</f>
        <v/>
      </c>
      <c r="AF8">
        <f>IF(N('Kosten | Costs'!$D$12)=0,0,IF(OR(AND(DATE(YEAR(AF$3),MONTH(AF$3),$AA8)&gt;=AF$3,DATE(YEAR(AF$3),MONTH(AF$3),$AA8)&lt;=AF$4),AND(DATE(YEAR(AF$4),MONTH(AF$4),$AA8)&gt;=AF$3,DATE(YEAR(AF$4),MONTH(AF$4),$AA8)&lt;=AF$4)),'Kosten | Costs'!$D$12,0))</f>
        <v/>
      </c>
      <c r="AG8">
        <f>IF(N('Kosten | Costs'!$D$12)=0,0,IF(OR(AND(DATE(YEAR(AG$3),MONTH(AG$3),$AA8)&gt;=AG$3,DATE(YEAR(AG$3),MONTH(AG$3),$AA8)&lt;=AG$4),AND(DATE(YEAR(AG$4),MONTH(AG$4),$AA8)&gt;=AG$3,DATE(YEAR(AG$4),MONTH(AG$4),$AA8)&lt;=AG$4)),'Kosten | Costs'!$D$12,0))</f>
        <v/>
      </c>
      <c r="AH8">
        <f>IF(N('Kosten | Costs'!$D$12)=0,0,IF(OR(AND(DATE(YEAR(AH$3),MONTH(AH$3),$AA8)&gt;=AH$3,DATE(YEAR(AH$3),MONTH(AH$3),$AA8)&lt;=AH$4),AND(DATE(YEAR(AH$4),MONTH(AH$4),$AA8)&gt;=AH$3,DATE(YEAR(AH$4),MONTH(AH$4),$AA8)&lt;=AH$4)),'Kosten | Costs'!$D$12,0))</f>
        <v/>
      </c>
      <c r="AI8">
        <f>IF(N('Kosten | Costs'!$D$12)=0,0,IF(OR(AND(DATE(YEAR(AI$3),MONTH(AI$3),$AA8)&gt;=AI$3,DATE(YEAR(AI$3),MONTH(AI$3),$AA8)&lt;=AI$4),AND(DATE(YEAR(AI$4),MONTH(AI$4),$AA8)&gt;=AI$3,DATE(YEAR(AI$4),MONTH(AI$4),$AA8)&lt;=AI$4)),'Kosten | Costs'!$D$12,0))</f>
        <v/>
      </c>
      <c r="AJ8">
        <f>IF(N('Kosten | Costs'!$D$12)=0,0,IF(OR(AND(DATE(YEAR(AJ$3),MONTH(AJ$3),$AA8)&gt;=AJ$3,DATE(YEAR(AJ$3),MONTH(AJ$3),$AA8)&lt;=AJ$4),AND(DATE(YEAR(AJ$4),MONTH(AJ$4),$AA8)&gt;=AJ$3,DATE(YEAR(AJ$4),MONTH(AJ$4),$AA8)&lt;=AJ$4)),'Kosten | Costs'!$D$12,0))</f>
        <v/>
      </c>
      <c r="AK8">
        <f>IF(N('Kosten | Costs'!$D$12)=0,0,IF(OR(AND(DATE(YEAR(AK$3),MONTH(AK$3),$AA8)&gt;=AK$3,DATE(YEAR(AK$3),MONTH(AK$3),$AA8)&lt;=AK$4),AND(DATE(YEAR(AK$4),MONTH(AK$4),$AA8)&gt;=AK$3,DATE(YEAR(AK$4),MONTH(AK$4),$AA8)&lt;=AK$4)),'Kosten | Costs'!$D$12,0))</f>
        <v/>
      </c>
      <c r="AL8">
        <f>IF(N('Kosten | Costs'!$D$12)=0,0,IF(OR(AND(DATE(YEAR(AL$3),MONTH(AL$3),$AA8)&gt;=AL$3,DATE(YEAR(AL$3),MONTH(AL$3),$AA8)&lt;=AL$4),AND(DATE(YEAR(AL$4),MONTH(AL$4),$AA8)&gt;=AL$3,DATE(YEAR(AL$4),MONTH(AL$4),$AA8)&lt;=AL$4)),'Kosten | Costs'!$D$12,0))</f>
        <v/>
      </c>
      <c r="AM8">
        <f>IF(N('Kosten | Costs'!$D$12)=0,0,IF(OR(AND(DATE(YEAR(AM$3),MONTH(AM$3),$AA8)&gt;=AM$3,DATE(YEAR(AM$3),MONTH(AM$3),$AA8)&lt;=AM$4),AND(DATE(YEAR(AM$4),MONTH(AM$4),$AA8)&gt;=AM$3,DATE(YEAR(AM$4),MONTH(AM$4),$AA8)&lt;=AM$4)),'Kosten | Costs'!$D$12,0))</f>
        <v/>
      </c>
    </row>
    <row r="9">
      <c r="A9" s="107" t="inlineStr">
        <is>
          <t>kpi.balance</t>
        </is>
      </c>
      <c r="B9" s="113" t="inlineStr">
        <is>
          <t>Kontostand heute</t>
        </is>
      </c>
      <c r="C9" s="113" t="inlineStr">
        <is>
          <t>Cash balance today</t>
        </is>
      </c>
      <c r="F9" s="113" t="inlineStr">
        <is>
          <t>Nein</t>
        </is>
      </c>
      <c r="G9" s="113" t="inlineStr">
        <is>
          <t>No</t>
        </is>
      </c>
      <c r="H9" s="113">
        <f>INDEX(F9:G9,LANG)</f>
        <v/>
      </c>
      <c r="J9" s="113">
        <f>IFERROR(INDEX('Rechnungen | Invoices'!$C$9:$C$108,MATCH(0,INDEX(COUNTIF($J$4:J8,'Rechnungen | Invoices'!$C$9:$C$108)+('Rechnungen | Invoices'!$C$9:$C$108=""),0),0)),"")</f>
        <v/>
      </c>
      <c r="L9" t="n">
        <v>5</v>
      </c>
      <c r="M9" s="109">
        <f>M8+7</f>
        <v/>
      </c>
      <c r="N9" s="109">
        <f>M9+6</f>
        <v/>
      </c>
      <c r="O9" s="114">
        <f>SUMIFS('Rechnungen | Invoices'!$Q$9:$Q$108,'Rechnungen | Invoices'!$R$9:$R$108,"&gt;="&amp;M9,'Rechnungen | Invoices'!$R$9:$R$108,"&lt;="&amp;N9)</f>
        <v/>
      </c>
      <c r="P9" s="114">
        <f>SUMIFS('Rechnungen | Invoices'!$S$9:$S$108,'Rechnungen | Invoices'!$L$9:$L$108,"&gt;="&amp;M9,'Rechnungen | Invoices'!$L$9:$L$108,"&lt;="&amp;N9)</f>
        <v/>
      </c>
      <c r="Q9" s="114">
        <f>AF$25</f>
        <v/>
      </c>
      <c r="R9" s="114">
        <f>SUMIFS('Kosten | Costs'!$D$34:$D$63,'Kosten | Costs'!$E$34:$E$63,"&gt;="&amp;M9,'Kosten | Costs'!$E$34:$E$63,"&lt;="&amp;N9)</f>
        <v/>
      </c>
      <c r="S9" s="114">
        <f>IF(VATON=0,0,IF(AND(DATE(YEAR(M9),MONTH(M9),VATDAY)&gt;=M9,DATE(YEAR(M9),MONTH(M9),VATDAY)&lt;=N9),SUMIFS('Rechnungen | Invoices'!$P$9:$P$108,'Rechnungen | Invoices'!$H$9:$H$108,"&gt;="&amp;DATE(YEAR(M9),MONTH(M9)-1,1),'Rechnungen | Invoices'!$H$9:$H$108,"&lt;="&amp;DATE(YEAR(M9),MONTH(M9),1)-1),0)+IF(AND(MONTH(M9)&lt;&gt;MONTH(N9),DATE(YEAR(N9),MONTH(N9),VATDAY)&gt;=M9,DATE(YEAR(N9),MONTH(N9),VATDAY)&lt;=N9),SUMIFS('Rechnungen | Invoices'!$P$9:$P$108,'Rechnungen | Invoices'!$H$9:$H$108,"&gt;="&amp;DATE(YEAR(N9),MONTH(N9)-1,1),'Rechnungen | Invoices'!$H$9:$H$108,"&lt;="&amp;DATE(YEAR(N9),MONTH(N9),1)-1),0))</f>
        <v/>
      </c>
      <c r="T9" s="114">
        <f>Q9+R9+S9</f>
        <v/>
      </c>
      <c r="U9" s="114">
        <f>U8+O9-T9</f>
        <v/>
      </c>
      <c r="V9" s="114">
        <f>V8+P9-T9</f>
        <v/>
      </c>
      <c r="W9">
        <f>IF(V9&lt;MINCASH,2,IF(V9&lt;MINCASH*YELLOWF,1,0))</f>
        <v/>
      </c>
      <c r="X9" s="114">
        <f>MINCASH</f>
        <v/>
      </c>
      <c r="Y9">
        <f>INDEX(Config!$B$6:$C$104,MATCH("lbl.week",Config!$A$6:$A$104,0),LANG)&amp;" "&amp;ISOWEEKNUM(M9)</f>
        <v/>
      </c>
      <c r="AA9">
        <f>IF('Kosten | Costs'!$E$13="",1,MIN(28,MAX(1,'Kosten | Costs'!$E$13)))</f>
        <v/>
      </c>
      <c r="AB9">
        <f>IF(N('Kosten | Costs'!$D$13)=0,0,IF(OR(AND(DATE(YEAR(AB$3),MONTH(AB$3),$AA9)&gt;=AB$3,DATE(YEAR(AB$3),MONTH(AB$3),$AA9)&lt;=AB$4),AND(DATE(YEAR(AB$4),MONTH(AB$4),$AA9)&gt;=AB$3,DATE(YEAR(AB$4),MONTH(AB$4),$AA9)&lt;=AB$4)),'Kosten | Costs'!$D$13,0))</f>
        <v/>
      </c>
      <c r="AC9">
        <f>IF(N('Kosten | Costs'!$D$13)=0,0,IF(OR(AND(DATE(YEAR(AC$3),MONTH(AC$3),$AA9)&gt;=AC$3,DATE(YEAR(AC$3),MONTH(AC$3),$AA9)&lt;=AC$4),AND(DATE(YEAR(AC$4),MONTH(AC$4),$AA9)&gt;=AC$3,DATE(YEAR(AC$4),MONTH(AC$4),$AA9)&lt;=AC$4)),'Kosten | Costs'!$D$13,0))</f>
        <v/>
      </c>
      <c r="AD9">
        <f>IF(N('Kosten | Costs'!$D$13)=0,0,IF(OR(AND(DATE(YEAR(AD$3),MONTH(AD$3),$AA9)&gt;=AD$3,DATE(YEAR(AD$3),MONTH(AD$3),$AA9)&lt;=AD$4),AND(DATE(YEAR(AD$4),MONTH(AD$4),$AA9)&gt;=AD$3,DATE(YEAR(AD$4),MONTH(AD$4),$AA9)&lt;=AD$4)),'Kosten | Costs'!$D$13,0))</f>
        <v/>
      </c>
      <c r="AE9">
        <f>IF(N('Kosten | Costs'!$D$13)=0,0,IF(OR(AND(DATE(YEAR(AE$3),MONTH(AE$3),$AA9)&gt;=AE$3,DATE(YEAR(AE$3),MONTH(AE$3),$AA9)&lt;=AE$4),AND(DATE(YEAR(AE$4),MONTH(AE$4),$AA9)&gt;=AE$3,DATE(YEAR(AE$4),MONTH(AE$4),$AA9)&lt;=AE$4)),'Kosten | Costs'!$D$13,0))</f>
        <v/>
      </c>
      <c r="AF9">
        <f>IF(N('Kosten | Costs'!$D$13)=0,0,IF(OR(AND(DATE(YEAR(AF$3),MONTH(AF$3),$AA9)&gt;=AF$3,DATE(YEAR(AF$3),MONTH(AF$3),$AA9)&lt;=AF$4),AND(DATE(YEAR(AF$4),MONTH(AF$4),$AA9)&gt;=AF$3,DATE(YEAR(AF$4),MONTH(AF$4),$AA9)&lt;=AF$4)),'Kosten | Costs'!$D$13,0))</f>
        <v/>
      </c>
      <c r="AG9">
        <f>IF(N('Kosten | Costs'!$D$13)=0,0,IF(OR(AND(DATE(YEAR(AG$3),MONTH(AG$3),$AA9)&gt;=AG$3,DATE(YEAR(AG$3),MONTH(AG$3),$AA9)&lt;=AG$4),AND(DATE(YEAR(AG$4),MONTH(AG$4),$AA9)&gt;=AG$3,DATE(YEAR(AG$4),MONTH(AG$4),$AA9)&lt;=AG$4)),'Kosten | Costs'!$D$13,0))</f>
        <v/>
      </c>
      <c r="AH9">
        <f>IF(N('Kosten | Costs'!$D$13)=0,0,IF(OR(AND(DATE(YEAR(AH$3),MONTH(AH$3),$AA9)&gt;=AH$3,DATE(YEAR(AH$3),MONTH(AH$3),$AA9)&lt;=AH$4),AND(DATE(YEAR(AH$4),MONTH(AH$4),$AA9)&gt;=AH$3,DATE(YEAR(AH$4),MONTH(AH$4),$AA9)&lt;=AH$4)),'Kosten | Costs'!$D$13,0))</f>
        <v/>
      </c>
      <c r="AI9">
        <f>IF(N('Kosten | Costs'!$D$13)=0,0,IF(OR(AND(DATE(YEAR(AI$3),MONTH(AI$3),$AA9)&gt;=AI$3,DATE(YEAR(AI$3),MONTH(AI$3),$AA9)&lt;=AI$4),AND(DATE(YEAR(AI$4),MONTH(AI$4),$AA9)&gt;=AI$3,DATE(YEAR(AI$4),MONTH(AI$4),$AA9)&lt;=AI$4)),'Kosten | Costs'!$D$13,0))</f>
        <v/>
      </c>
      <c r="AJ9">
        <f>IF(N('Kosten | Costs'!$D$13)=0,0,IF(OR(AND(DATE(YEAR(AJ$3),MONTH(AJ$3),$AA9)&gt;=AJ$3,DATE(YEAR(AJ$3),MONTH(AJ$3),$AA9)&lt;=AJ$4),AND(DATE(YEAR(AJ$4),MONTH(AJ$4),$AA9)&gt;=AJ$3,DATE(YEAR(AJ$4),MONTH(AJ$4),$AA9)&lt;=AJ$4)),'Kosten | Costs'!$D$13,0))</f>
        <v/>
      </c>
      <c r="AK9">
        <f>IF(N('Kosten | Costs'!$D$13)=0,0,IF(OR(AND(DATE(YEAR(AK$3),MONTH(AK$3),$AA9)&gt;=AK$3,DATE(YEAR(AK$3),MONTH(AK$3),$AA9)&lt;=AK$4),AND(DATE(YEAR(AK$4),MONTH(AK$4),$AA9)&gt;=AK$3,DATE(YEAR(AK$4),MONTH(AK$4),$AA9)&lt;=AK$4)),'Kosten | Costs'!$D$13,0))</f>
        <v/>
      </c>
      <c r="AL9">
        <f>IF(N('Kosten | Costs'!$D$13)=0,0,IF(OR(AND(DATE(YEAR(AL$3),MONTH(AL$3),$AA9)&gt;=AL$3,DATE(YEAR(AL$3),MONTH(AL$3),$AA9)&lt;=AL$4),AND(DATE(YEAR(AL$4),MONTH(AL$4),$AA9)&gt;=AL$3,DATE(YEAR(AL$4),MONTH(AL$4),$AA9)&lt;=AL$4)),'Kosten | Costs'!$D$13,0))</f>
        <v/>
      </c>
      <c r="AM9">
        <f>IF(N('Kosten | Costs'!$D$13)=0,0,IF(OR(AND(DATE(YEAR(AM$3),MONTH(AM$3),$AA9)&gt;=AM$3,DATE(YEAR(AM$3),MONTH(AM$3),$AA9)&lt;=AM$4),AND(DATE(YEAR(AM$4),MONTH(AM$4),$AA9)&gt;=AM$3,DATE(YEAR(AM$4),MONTH(AM$4),$AA9)&lt;=AM$4)),'Kosten | Costs'!$D$13,0))</f>
        <v/>
      </c>
    </row>
    <row r="10">
      <c r="A10" s="107" t="inlineStr">
        <is>
          <t>kpi.balance.sub</t>
        </is>
      </c>
      <c r="B10" s="113" t="inlineStr">
        <is>
          <t>Startwert der Prognose</t>
        </is>
      </c>
      <c r="C10" s="113" t="inlineStr">
        <is>
          <t>starting value of the forecast</t>
        </is>
      </c>
      <c r="J10" s="113">
        <f>IFERROR(INDEX('Rechnungen | Invoices'!$C$9:$C$108,MATCH(0,INDEX(COUNTIF($J$4:J9,'Rechnungen | Invoices'!$C$9:$C$108)+('Rechnungen | Invoices'!$C$9:$C$108=""),0),0)),"")</f>
        <v/>
      </c>
      <c r="L10" t="n">
        <v>6</v>
      </c>
      <c r="M10" s="109">
        <f>M9+7</f>
        <v/>
      </c>
      <c r="N10" s="109">
        <f>M10+6</f>
        <v/>
      </c>
      <c r="O10" s="114">
        <f>SUMIFS('Rechnungen | Invoices'!$Q$9:$Q$108,'Rechnungen | Invoices'!$R$9:$R$108,"&gt;="&amp;M10,'Rechnungen | Invoices'!$R$9:$R$108,"&lt;="&amp;N10)</f>
        <v/>
      </c>
      <c r="P10" s="114">
        <f>SUMIFS('Rechnungen | Invoices'!$S$9:$S$108,'Rechnungen | Invoices'!$L$9:$L$108,"&gt;="&amp;M10,'Rechnungen | Invoices'!$L$9:$L$108,"&lt;="&amp;N10)</f>
        <v/>
      </c>
      <c r="Q10" s="114">
        <f>AG$25</f>
        <v/>
      </c>
      <c r="R10" s="114">
        <f>SUMIFS('Kosten | Costs'!$D$34:$D$63,'Kosten | Costs'!$E$34:$E$63,"&gt;="&amp;M10,'Kosten | Costs'!$E$34:$E$63,"&lt;="&amp;N10)</f>
        <v/>
      </c>
      <c r="S10" s="114">
        <f>IF(VATON=0,0,IF(AND(DATE(YEAR(M10),MONTH(M10),VATDAY)&gt;=M10,DATE(YEAR(M10),MONTH(M10),VATDAY)&lt;=N10),SUMIFS('Rechnungen | Invoices'!$P$9:$P$108,'Rechnungen | Invoices'!$H$9:$H$108,"&gt;="&amp;DATE(YEAR(M10),MONTH(M10)-1,1),'Rechnungen | Invoices'!$H$9:$H$108,"&lt;="&amp;DATE(YEAR(M10),MONTH(M10),1)-1),0)+IF(AND(MONTH(M10)&lt;&gt;MONTH(N10),DATE(YEAR(N10),MONTH(N10),VATDAY)&gt;=M10,DATE(YEAR(N10),MONTH(N10),VATDAY)&lt;=N10),SUMIFS('Rechnungen | Invoices'!$P$9:$P$108,'Rechnungen | Invoices'!$H$9:$H$108,"&gt;="&amp;DATE(YEAR(N10),MONTH(N10)-1,1),'Rechnungen | Invoices'!$H$9:$H$108,"&lt;="&amp;DATE(YEAR(N10),MONTH(N10),1)-1),0))</f>
        <v/>
      </c>
      <c r="T10" s="114">
        <f>Q10+R10+S10</f>
        <v/>
      </c>
      <c r="U10" s="114">
        <f>U9+O10-T10</f>
        <v/>
      </c>
      <c r="V10" s="114">
        <f>V9+P10-T10</f>
        <v/>
      </c>
      <c r="W10">
        <f>IF(V10&lt;MINCASH,2,IF(V10&lt;MINCASH*YELLOWF,1,0))</f>
        <v/>
      </c>
      <c r="X10" s="114">
        <f>MINCASH</f>
        <v/>
      </c>
      <c r="Y10">
        <f>INDEX(Config!$B$6:$C$104,MATCH("lbl.week",Config!$A$6:$A$104,0),LANG)&amp;" "&amp;ISOWEEKNUM(M10)</f>
        <v/>
      </c>
      <c r="AA10">
        <f>IF('Kosten | Costs'!$E$14="",1,MIN(28,MAX(1,'Kosten | Costs'!$E$14)))</f>
        <v/>
      </c>
      <c r="AB10">
        <f>IF(N('Kosten | Costs'!$D$14)=0,0,IF(OR(AND(DATE(YEAR(AB$3),MONTH(AB$3),$AA10)&gt;=AB$3,DATE(YEAR(AB$3),MONTH(AB$3),$AA10)&lt;=AB$4),AND(DATE(YEAR(AB$4),MONTH(AB$4),$AA10)&gt;=AB$3,DATE(YEAR(AB$4),MONTH(AB$4),$AA10)&lt;=AB$4)),'Kosten | Costs'!$D$14,0))</f>
        <v/>
      </c>
      <c r="AC10">
        <f>IF(N('Kosten | Costs'!$D$14)=0,0,IF(OR(AND(DATE(YEAR(AC$3),MONTH(AC$3),$AA10)&gt;=AC$3,DATE(YEAR(AC$3),MONTH(AC$3),$AA10)&lt;=AC$4),AND(DATE(YEAR(AC$4),MONTH(AC$4),$AA10)&gt;=AC$3,DATE(YEAR(AC$4),MONTH(AC$4),$AA10)&lt;=AC$4)),'Kosten | Costs'!$D$14,0))</f>
        <v/>
      </c>
      <c r="AD10">
        <f>IF(N('Kosten | Costs'!$D$14)=0,0,IF(OR(AND(DATE(YEAR(AD$3),MONTH(AD$3),$AA10)&gt;=AD$3,DATE(YEAR(AD$3),MONTH(AD$3),$AA10)&lt;=AD$4),AND(DATE(YEAR(AD$4),MONTH(AD$4),$AA10)&gt;=AD$3,DATE(YEAR(AD$4),MONTH(AD$4),$AA10)&lt;=AD$4)),'Kosten | Costs'!$D$14,0))</f>
        <v/>
      </c>
      <c r="AE10">
        <f>IF(N('Kosten | Costs'!$D$14)=0,0,IF(OR(AND(DATE(YEAR(AE$3),MONTH(AE$3),$AA10)&gt;=AE$3,DATE(YEAR(AE$3),MONTH(AE$3),$AA10)&lt;=AE$4),AND(DATE(YEAR(AE$4),MONTH(AE$4),$AA10)&gt;=AE$3,DATE(YEAR(AE$4),MONTH(AE$4),$AA10)&lt;=AE$4)),'Kosten | Costs'!$D$14,0))</f>
        <v/>
      </c>
      <c r="AF10">
        <f>IF(N('Kosten | Costs'!$D$14)=0,0,IF(OR(AND(DATE(YEAR(AF$3),MONTH(AF$3),$AA10)&gt;=AF$3,DATE(YEAR(AF$3),MONTH(AF$3),$AA10)&lt;=AF$4),AND(DATE(YEAR(AF$4),MONTH(AF$4),$AA10)&gt;=AF$3,DATE(YEAR(AF$4),MONTH(AF$4),$AA10)&lt;=AF$4)),'Kosten | Costs'!$D$14,0))</f>
        <v/>
      </c>
      <c r="AG10">
        <f>IF(N('Kosten | Costs'!$D$14)=0,0,IF(OR(AND(DATE(YEAR(AG$3),MONTH(AG$3),$AA10)&gt;=AG$3,DATE(YEAR(AG$3),MONTH(AG$3),$AA10)&lt;=AG$4),AND(DATE(YEAR(AG$4),MONTH(AG$4),$AA10)&gt;=AG$3,DATE(YEAR(AG$4),MONTH(AG$4),$AA10)&lt;=AG$4)),'Kosten | Costs'!$D$14,0))</f>
        <v/>
      </c>
      <c r="AH10">
        <f>IF(N('Kosten | Costs'!$D$14)=0,0,IF(OR(AND(DATE(YEAR(AH$3),MONTH(AH$3),$AA10)&gt;=AH$3,DATE(YEAR(AH$3),MONTH(AH$3),$AA10)&lt;=AH$4),AND(DATE(YEAR(AH$4),MONTH(AH$4),$AA10)&gt;=AH$3,DATE(YEAR(AH$4),MONTH(AH$4),$AA10)&lt;=AH$4)),'Kosten | Costs'!$D$14,0))</f>
        <v/>
      </c>
      <c r="AI10">
        <f>IF(N('Kosten | Costs'!$D$14)=0,0,IF(OR(AND(DATE(YEAR(AI$3),MONTH(AI$3),$AA10)&gt;=AI$3,DATE(YEAR(AI$3),MONTH(AI$3),$AA10)&lt;=AI$4),AND(DATE(YEAR(AI$4),MONTH(AI$4),$AA10)&gt;=AI$3,DATE(YEAR(AI$4),MONTH(AI$4),$AA10)&lt;=AI$4)),'Kosten | Costs'!$D$14,0))</f>
        <v/>
      </c>
      <c r="AJ10">
        <f>IF(N('Kosten | Costs'!$D$14)=0,0,IF(OR(AND(DATE(YEAR(AJ$3),MONTH(AJ$3),$AA10)&gt;=AJ$3,DATE(YEAR(AJ$3),MONTH(AJ$3),$AA10)&lt;=AJ$4),AND(DATE(YEAR(AJ$4),MONTH(AJ$4),$AA10)&gt;=AJ$3,DATE(YEAR(AJ$4),MONTH(AJ$4),$AA10)&lt;=AJ$4)),'Kosten | Costs'!$D$14,0))</f>
        <v/>
      </c>
      <c r="AK10">
        <f>IF(N('Kosten | Costs'!$D$14)=0,0,IF(OR(AND(DATE(YEAR(AK$3),MONTH(AK$3),$AA10)&gt;=AK$3,DATE(YEAR(AK$3),MONTH(AK$3),$AA10)&lt;=AK$4),AND(DATE(YEAR(AK$4),MONTH(AK$4),$AA10)&gt;=AK$3,DATE(YEAR(AK$4),MONTH(AK$4),$AA10)&lt;=AK$4)),'Kosten | Costs'!$D$14,0))</f>
        <v/>
      </c>
      <c r="AL10">
        <f>IF(N('Kosten | Costs'!$D$14)=0,0,IF(OR(AND(DATE(YEAR(AL$3),MONTH(AL$3),$AA10)&gt;=AL$3,DATE(YEAR(AL$3),MONTH(AL$3),$AA10)&lt;=AL$4),AND(DATE(YEAR(AL$4),MONTH(AL$4),$AA10)&gt;=AL$3,DATE(YEAR(AL$4),MONTH(AL$4),$AA10)&lt;=AL$4)),'Kosten | Costs'!$D$14,0))</f>
        <v/>
      </c>
      <c r="AM10">
        <f>IF(N('Kosten | Costs'!$D$14)=0,0,IF(OR(AND(DATE(YEAR(AM$3),MONTH(AM$3),$AA10)&gt;=AM$3,DATE(YEAR(AM$3),MONTH(AM$3),$AA10)&lt;=AM$4),AND(DATE(YEAR(AM$4),MONTH(AM$4),$AA10)&gt;=AM$3,DATE(YEAR(AM$4),MONTH(AM$4),$AA10)&lt;=AM$4)),'Kosten | Costs'!$D$14,0))</f>
        <v/>
      </c>
    </row>
    <row r="11">
      <c r="A11" s="107" t="inlineStr">
        <is>
          <t>kpi.recv</t>
        </is>
      </c>
      <c r="B11" s="113" t="inlineStr">
        <is>
          <t>Offene Forderungen</t>
        </is>
      </c>
      <c r="C11" s="113" t="inlineStr">
        <is>
          <t>Open receivables</t>
        </is>
      </c>
      <c r="J11" s="113">
        <f>IFERROR(INDEX('Rechnungen | Invoices'!$C$9:$C$108,MATCH(0,INDEX(COUNTIF($J$4:J10,'Rechnungen | Invoices'!$C$9:$C$108)+('Rechnungen | Invoices'!$C$9:$C$108=""),0),0)),"")</f>
        <v/>
      </c>
      <c r="L11" t="n">
        <v>7</v>
      </c>
      <c r="M11" s="109">
        <f>M10+7</f>
        <v/>
      </c>
      <c r="N11" s="109">
        <f>M11+6</f>
        <v/>
      </c>
      <c r="O11" s="114">
        <f>SUMIFS('Rechnungen | Invoices'!$Q$9:$Q$108,'Rechnungen | Invoices'!$R$9:$R$108,"&gt;="&amp;M11,'Rechnungen | Invoices'!$R$9:$R$108,"&lt;="&amp;N11)</f>
        <v/>
      </c>
      <c r="P11" s="114">
        <f>SUMIFS('Rechnungen | Invoices'!$S$9:$S$108,'Rechnungen | Invoices'!$L$9:$L$108,"&gt;="&amp;M11,'Rechnungen | Invoices'!$L$9:$L$108,"&lt;="&amp;N11)</f>
        <v/>
      </c>
      <c r="Q11" s="114">
        <f>AH$25</f>
        <v/>
      </c>
      <c r="R11" s="114">
        <f>SUMIFS('Kosten | Costs'!$D$34:$D$63,'Kosten | Costs'!$E$34:$E$63,"&gt;="&amp;M11,'Kosten | Costs'!$E$34:$E$63,"&lt;="&amp;N11)</f>
        <v/>
      </c>
      <c r="S11" s="114">
        <f>IF(VATON=0,0,IF(AND(DATE(YEAR(M11),MONTH(M11),VATDAY)&gt;=M11,DATE(YEAR(M11),MONTH(M11),VATDAY)&lt;=N11),SUMIFS('Rechnungen | Invoices'!$P$9:$P$108,'Rechnungen | Invoices'!$H$9:$H$108,"&gt;="&amp;DATE(YEAR(M11),MONTH(M11)-1,1),'Rechnungen | Invoices'!$H$9:$H$108,"&lt;="&amp;DATE(YEAR(M11),MONTH(M11),1)-1),0)+IF(AND(MONTH(M11)&lt;&gt;MONTH(N11),DATE(YEAR(N11),MONTH(N11),VATDAY)&gt;=M11,DATE(YEAR(N11),MONTH(N11),VATDAY)&lt;=N11),SUMIFS('Rechnungen | Invoices'!$P$9:$P$108,'Rechnungen | Invoices'!$H$9:$H$108,"&gt;="&amp;DATE(YEAR(N11),MONTH(N11)-1,1),'Rechnungen | Invoices'!$H$9:$H$108,"&lt;="&amp;DATE(YEAR(N11),MONTH(N11),1)-1),0))</f>
        <v/>
      </c>
      <c r="T11" s="114">
        <f>Q11+R11+S11</f>
        <v/>
      </c>
      <c r="U11" s="114">
        <f>U10+O11-T11</f>
        <v/>
      </c>
      <c r="V11" s="114">
        <f>V10+P11-T11</f>
        <v/>
      </c>
      <c r="W11">
        <f>IF(V11&lt;MINCASH,2,IF(V11&lt;MINCASH*YELLOWF,1,0))</f>
        <v/>
      </c>
      <c r="X11" s="114">
        <f>MINCASH</f>
        <v/>
      </c>
      <c r="Y11">
        <f>INDEX(Config!$B$6:$C$104,MATCH("lbl.week",Config!$A$6:$A$104,0),LANG)&amp;" "&amp;ISOWEEKNUM(M11)</f>
        <v/>
      </c>
      <c r="AA11">
        <f>IF('Kosten | Costs'!$E$15="",1,MIN(28,MAX(1,'Kosten | Costs'!$E$15)))</f>
        <v/>
      </c>
      <c r="AB11">
        <f>IF(N('Kosten | Costs'!$D$15)=0,0,IF(OR(AND(DATE(YEAR(AB$3),MONTH(AB$3),$AA11)&gt;=AB$3,DATE(YEAR(AB$3),MONTH(AB$3),$AA11)&lt;=AB$4),AND(DATE(YEAR(AB$4),MONTH(AB$4),$AA11)&gt;=AB$3,DATE(YEAR(AB$4),MONTH(AB$4),$AA11)&lt;=AB$4)),'Kosten | Costs'!$D$15,0))</f>
        <v/>
      </c>
      <c r="AC11">
        <f>IF(N('Kosten | Costs'!$D$15)=0,0,IF(OR(AND(DATE(YEAR(AC$3),MONTH(AC$3),$AA11)&gt;=AC$3,DATE(YEAR(AC$3),MONTH(AC$3),$AA11)&lt;=AC$4),AND(DATE(YEAR(AC$4),MONTH(AC$4),$AA11)&gt;=AC$3,DATE(YEAR(AC$4),MONTH(AC$4),$AA11)&lt;=AC$4)),'Kosten | Costs'!$D$15,0))</f>
        <v/>
      </c>
      <c r="AD11">
        <f>IF(N('Kosten | Costs'!$D$15)=0,0,IF(OR(AND(DATE(YEAR(AD$3),MONTH(AD$3),$AA11)&gt;=AD$3,DATE(YEAR(AD$3),MONTH(AD$3),$AA11)&lt;=AD$4),AND(DATE(YEAR(AD$4),MONTH(AD$4),$AA11)&gt;=AD$3,DATE(YEAR(AD$4),MONTH(AD$4),$AA11)&lt;=AD$4)),'Kosten | Costs'!$D$15,0))</f>
        <v/>
      </c>
      <c r="AE11">
        <f>IF(N('Kosten | Costs'!$D$15)=0,0,IF(OR(AND(DATE(YEAR(AE$3),MONTH(AE$3),$AA11)&gt;=AE$3,DATE(YEAR(AE$3),MONTH(AE$3),$AA11)&lt;=AE$4),AND(DATE(YEAR(AE$4),MONTH(AE$4),$AA11)&gt;=AE$3,DATE(YEAR(AE$4),MONTH(AE$4),$AA11)&lt;=AE$4)),'Kosten | Costs'!$D$15,0))</f>
        <v/>
      </c>
      <c r="AF11">
        <f>IF(N('Kosten | Costs'!$D$15)=0,0,IF(OR(AND(DATE(YEAR(AF$3),MONTH(AF$3),$AA11)&gt;=AF$3,DATE(YEAR(AF$3),MONTH(AF$3),$AA11)&lt;=AF$4),AND(DATE(YEAR(AF$4),MONTH(AF$4),$AA11)&gt;=AF$3,DATE(YEAR(AF$4),MONTH(AF$4),$AA11)&lt;=AF$4)),'Kosten | Costs'!$D$15,0))</f>
        <v/>
      </c>
      <c r="AG11">
        <f>IF(N('Kosten | Costs'!$D$15)=0,0,IF(OR(AND(DATE(YEAR(AG$3),MONTH(AG$3),$AA11)&gt;=AG$3,DATE(YEAR(AG$3),MONTH(AG$3),$AA11)&lt;=AG$4),AND(DATE(YEAR(AG$4),MONTH(AG$4),$AA11)&gt;=AG$3,DATE(YEAR(AG$4),MONTH(AG$4),$AA11)&lt;=AG$4)),'Kosten | Costs'!$D$15,0))</f>
        <v/>
      </c>
      <c r="AH11">
        <f>IF(N('Kosten | Costs'!$D$15)=0,0,IF(OR(AND(DATE(YEAR(AH$3),MONTH(AH$3),$AA11)&gt;=AH$3,DATE(YEAR(AH$3),MONTH(AH$3),$AA11)&lt;=AH$4),AND(DATE(YEAR(AH$4),MONTH(AH$4),$AA11)&gt;=AH$3,DATE(YEAR(AH$4),MONTH(AH$4),$AA11)&lt;=AH$4)),'Kosten | Costs'!$D$15,0))</f>
        <v/>
      </c>
      <c r="AI11">
        <f>IF(N('Kosten | Costs'!$D$15)=0,0,IF(OR(AND(DATE(YEAR(AI$3),MONTH(AI$3),$AA11)&gt;=AI$3,DATE(YEAR(AI$3),MONTH(AI$3),$AA11)&lt;=AI$4),AND(DATE(YEAR(AI$4),MONTH(AI$4),$AA11)&gt;=AI$3,DATE(YEAR(AI$4),MONTH(AI$4),$AA11)&lt;=AI$4)),'Kosten | Costs'!$D$15,0))</f>
        <v/>
      </c>
      <c r="AJ11">
        <f>IF(N('Kosten | Costs'!$D$15)=0,0,IF(OR(AND(DATE(YEAR(AJ$3),MONTH(AJ$3),$AA11)&gt;=AJ$3,DATE(YEAR(AJ$3),MONTH(AJ$3),$AA11)&lt;=AJ$4),AND(DATE(YEAR(AJ$4),MONTH(AJ$4),$AA11)&gt;=AJ$3,DATE(YEAR(AJ$4),MONTH(AJ$4),$AA11)&lt;=AJ$4)),'Kosten | Costs'!$D$15,0))</f>
        <v/>
      </c>
      <c r="AK11">
        <f>IF(N('Kosten | Costs'!$D$15)=0,0,IF(OR(AND(DATE(YEAR(AK$3),MONTH(AK$3),$AA11)&gt;=AK$3,DATE(YEAR(AK$3),MONTH(AK$3),$AA11)&lt;=AK$4),AND(DATE(YEAR(AK$4),MONTH(AK$4),$AA11)&gt;=AK$3,DATE(YEAR(AK$4),MONTH(AK$4),$AA11)&lt;=AK$4)),'Kosten | Costs'!$D$15,0))</f>
        <v/>
      </c>
      <c r="AL11">
        <f>IF(N('Kosten | Costs'!$D$15)=0,0,IF(OR(AND(DATE(YEAR(AL$3),MONTH(AL$3),$AA11)&gt;=AL$3,DATE(YEAR(AL$3),MONTH(AL$3),$AA11)&lt;=AL$4),AND(DATE(YEAR(AL$4),MONTH(AL$4),$AA11)&gt;=AL$3,DATE(YEAR(AL$4),MONTH(AL$4),$AA11)&lt;=AL$4)),'Kosten | Costs'!$D$15,0))</f>
        <v/>
      </c>
      <c r="AM11">
        <f>IF(N('Kosten | Costs'!$D$15)=0,0,IF(OR(AND(DATE(YEAR(AM$3),MONTH(AM$3),$AA11)&gt;=AM$3,DATE(YEAR(AM$3),MONTH(AM$3),$AA11)&lt;=AM$4),AND(DATE(YEAR(AM$4),MONTH(AM$4),$AA11)&gt;=AM$3,DATE(YEAR(AM$4),MONTH(AM$4),$AA11)&lt;=AM$4)),'Kosten | Costs'!$D$15,0))</f>
        <v/>
      </c>
    </row>
    <row r="12">
      <c r="A12" s="107" t="inlineStr">
        <is>
          <t>kpi.recv.sub</t>
        </is>
      </c>
      <c r="B12" s="113" t="inlineStr">
        <is>
          <t>unbezahlte Rechnungen</t>
        </is>
      </c>
      <c r="C12" s="113" t="inlineStr">
        <is>
          <t>unpaid invoices</t>
        </is>
      </c>
      <c r="J12" s="113">
        <f>IFERROR(INDEX('Rechnungen | Invoices'!$C$9:$C$108,MATCH(0,INDEX(COUNTIF($J$4:J11,'Rechnungen | Invoices'!$C$9:$C$108)+('Rechnungen | Invoices'!$C$9:$C$108=""),0),0)),"")</f>
        <v/>
      </c>
      <c r="L12" t="n">
        <v>8</v>
      </c>
      <c r="M12" s="109">
        <f>M11+7</f>
        <v/>
      </c>
      <c r="N12" s="109">
        <f>M12+6</f>
        <v/>
      </c>
      <c r="O12" s="114">
        <f>SUMIFS('Rechnungen | Invoices'!$Q$9:$Q$108,'Rechnungen | Invoices'!$R$9:$R$108,"&gt;="&amp;M12,'Rechnungen | Invoices'!$R$9:$R$108,"&lt;="&amp;N12)</f>
        <v/>
      </c>
      <c r="P12" s="114">
        <f>SUMIFS('Rechnungen | Invoices'!$S$9:$S$108,'Rechnungen | Invoices'!$L$9:$L$108,"&gt;="&amp;M12,'Rechnungen | Invoices'!$L$9:$L$108,"&lt;="&amp;N12)</f>
        <v/>
      </c>
      <c r="Q12" s="114">
        <f>AI$25</f>
        <v/>
      </c>
      <c r="R12" s="114">
        <f>SUMIFS('Kosten | Costs'!$D$34:$D$63,'Kosten | Costs'!$E$34:$E$63,"&gt;="&amp;M12,'Kosten | Costs'!$E$34:$E$63,"&lt;="&amp;N12)</f>
        <v/>
      </c>
      <c r="S12" s="114">
        <f>IF(VATON=0,0,IF(AND(DATE(YEAR(M12),MONTH(M12),VATDAY)&gt;=M12,DATE(YEAR(M12),MONTH(M12),VATDAY)&lt;=N12),SUMIFS('Rechnungen | Invoices'!$P$9:$P$108,'Rechnungen | Invoices'!$H$9:$H$108,"&gt;="&amp;DATE(YEAR(M12),MONTH(M12)-1,1),'Rechnungen | Invoices'!$H$9:$H$108,"&lt;="&amp;DATE(YEAR(M12),MONTH(M12),1)-1),0)+IF(AND(MONTH(M12)&lt;&gt;MONTH(N12),DATE(YEAR(N12),MONTH(N12),VATDAY)&gt;=M12,DATE(YEAR(N12),MONTH(N12),VATDAY)&lt;=N12),SUMIFS('Rechnungen | Invoices'!$P$9:$P$108,'Rechnungen | Invoices'!$H$9:$H$108,"&gt;="&amp;DATE(YEAR(N12),MONTH(N12)-1,1),'Rechnungen | Invoices'!$H$9:$H$108,"&lt;="&amp;DATE(YEAR(N12),MONTH(N12),1)-1),0))</f>
        <v/>
      </c>
      <c r="T12" s="114">
        <f>Q12+R12+S12</f>
        <v/>
      </c>
      <c r="U12" s="114">
        <f>U11+O12-T12</f>
        <v/>
      </c>
      <c r="V12" s="114">
        <f>V11+P12-T12</f>
        <v/>
      </c>
      <c r="W12">
        <f>IF(V12&lt;MINCASH,2,IF(V12&lt;MINCASH*YELLOWF,1,0))</f>
        <v/>
      </c>
      <c r="X12" s="114">
        <f>MINCASH</f>
        <v/>
      </c>
      <c r="Y12">
        <f>INDEX(Config!$B$6:$C$104,MATCH("lbl.week",Config!$A$6:$A$104,0),LANG)&amp;" "&amp;ISOWEEKNUM(M12)</f>
        <v/>
      </c>
      <c r="AA12">
        <f>IF('Kosten | Costs'!$E$16="",1,MIN(28,MAX(1,'Kosten | Costs'!$E$16)))</f>
        <v/>
      </c>
      <c r="AB12">
        <f>IF(N('Kosten | Costs'!$D$16)=0,0,IF(OR(AND(DATE(YEAR(AB$3),MONTH(AB$3),$AA12)&gt;=AB$3,DATE(YEAR(AB$3),MONTH(AB$3),$AA12)&lt;=AB$4),AND(DATE(YEAR(AB$4),MONTH(AB$4),$AA12)&gt;=AB$3,DATE(YEAR(AB$4),MONTH(AB$4),$AA12)&lt;=AB$4)),'Kosten | Costs'!$D$16,0))</f>
        <v/>
      </c>
      <c r="AC12">
        <f>IF(N('Kosten | Costs'!$D$16)=0,0,IF(OR(AND(DATE(YEAR(AC$3),MONTH(AC$3),$AA12)&gt;=AC$3,DATE(YEAR(AC$3),MONTH(AC$3),$AA12)&lt;=AC$4),AND(DATE(YEAR(AC$4),MONTH(AC$4),$AA12)&gt;=AC$3,DATE(YEAR(AC$4),MONTH(AC$4),$AA12)&lt;=AC$4)),'Kosten | Costs'!$D$16,0))</f>
        <v/>
      </c>
      <c r="AD12">
        <f>IF(N('Kosten | Costs'!$D$16)=0,0,IF(OR(AND(DATE(YEAR(AD$3),MONTH(AD$3),$AA12)&gt;=AD$3,DATE(YEAR(AD$3),MONTH(AD$3),$AA12)&lt;=AD$4),AND(DATE(YEAR(AD$4),MONTH(AD$4),$AA12)&gt;=AD$3,DATE(YEAR(AD$4),MONTH(AD$4),$AA12)&lt;=AD$4)),'Kosten | Costs'!$D$16,0))</f>
        <v/>
      </c>
      <c r="AE12">
        <f>IF(N('Kosten | Costs'!$D$16)=0,0,IF(OR(AND(DATE(YEAR(AE$3),MONTH(AE$3),$AA12)&gt;=AE$3,DATE(YEAR(AE$3),MONTH(AE$3),$AA12)&lt;=AE$4),AND(DATE(YEAR(AE$4),MONTH(AE$4),$AA12)&gt;=AE$3,DATE(YEAR(AE$4),MONTH(AE$4),$AA12)&lt;=AE$4)),'Kosten | Costs'!$D$16,0))</f>
        <v/>
      </c>
      <c r="AF12">
        <f>IF(N('Kosten | Costs'!$D$16)=0,0,IF(OR(AND(DATE(YEAR(AF$3),MONTH(AF$3),$AA12)&gt;=AF$3,DATE(YEAR(AF$3),MONTH(AF$3),$AA12)&lt;=AF$4),AND(DATE(YEAR(AF$4),MONTH(AF$4),$AA12)&gt;=AF$3,DATE(YEAR(AF$4),MONTH(AF$4),$AA12)&lt;=AF$4)),'Kosten | Costs'!$D$16,0))</f>
        <v/>
      </c>
      <c r="AG12">
        <f>IF(N('Kosten | Costs'!$D$16)=0,0,IF(OR(AND(DATE(YEAR(AG$3),MONTH(AG$3),$AA12)&gt;=AG$3,DATE(YEAR(AG$3),MONTH(AG$3),$AA12)&lt;=AG$4),AND(DATE(YEAR(AG$4),MONTH(AG$4),$AA12)&gt;=AG$3,DATE(YEAR(AG$4),MONTH(AG$4),$AA12)&lt;=AG$4)),'Kosten | Costs'!$D$16,0))</f>
        <v/>
      </c>
      <c r="AH12">
        <f>IF(N('Kosten | Costs'!$D$16)=0,0,IF(OR(AND(DATE(YEAR(AH$3),MONTH(AH$3),$AA12)&gt;=AH$3,DATE(YEAR(AH$3),MONTH(AH$3),$AA12)&lt;=AH$4),AND(DATE(YEAR(AH$4),MONTH(AH$4),$AA12)&gt;=AH$3,DATE(YEAR(AH$4),MONTH(AH$4),$AA12)&lt;=AH$4)),'Kosten | Costs'!$D$16,0))</f>
        <v/>
      </c>
      <c r="AI12">
        <f>IF(N('Kosten | Costs'!$D$16)=0,0,IF(OR(AND(DATE(YEAR(AI$3),MONTH(AI$3),$AA12)&gt;=AI$3,DATE(YEAR(AI$3),MONTH(AI$3),$AA12)&lt;=AI$4),AND(DATE(YEAR(AI$4),MONTH(AI$4),$AA12)&gt;=AI$3,DATE(YEAR(AI$4),MONTH(AI$4),$AA12)&lt;=AI$4)),'Kosten | Costs'!$D$16,0))</f>
        <v/>
      </c>
      <c r="AJ12">
        <f>IF(N('Kosten | Costs'!$D$16)=0,0,IF(OR(AND(DATE(YEAR(AJ$3),MONTH(AJ$3),$AA12)&gt;=AJ$3,DATE(YEAR(AJ$3),MONTH(AJ$3),$AA12)&lt;=AJ$4),AND(DATE(YEAR(AJ$4),MONTH(AJ$4),$AA12)&gt;=AJ$3,DATE(YEAR(AJ$4),MONTH(AJ$4),$AA12)&lt;=AJ$4)),'Kosten | Costs'!$D$16,0))</f>
        <v/>
      </c>
      <c r="AK12">
        <f>IF(N('Kosten | Costs'!$D$16)=0,0,IF(OR(AND(DATE(YEAR(AK$3),MONTH(AK$3),$AA12)&gt;=AK$3,DATE(YEAR(AK$3),MONTH(AK$3),$AA12)&lt;=AK$4),AND(DATE(YEAR(AK$4),MONTH(AK$4),$AA12)&gt;=AK$3,DATE(YEAR(AK$4),MONTH(AK$4),$AA12)&lt;=AK$4)),'Kosten | Costs'!$D$16,0))</f>
        <v/>
      </c>
      <c r="AL12">
        <f>IF(N('Kosten | Costs'!$D$16)=0,0,IF(OR(AND(DATE(YEAR(AL$3),MONTH(AL$3),$AA12)&gt;=AL$3,DATE(YEAR(AL$3),MONTH(AL$3),$AA12)&lt;=AL$4),AND(DATE(YEAR(AL$4),MONTH(AL$4),$AA12)&gt;=AL$3,DATE(YEAR(AL$4),MONTH(AL$4),$AA12)&lt;=AL$4)),'Kosten | Costs'!$D$16,0))</f>
        <v/>
      </c>
      <c r="AM12">
        <f>IF(N('Kosten | Costs'!$D$16)=0,0,IF(OR(AND(DATE(YEAR(AM$3),MONTH(AM$3),$AA12)&gt;=AM$3,DATE(YEAR(AM$3),MONTH(AM$3),$AA12)&lt;=AM$4),AND(DATE(YEAR(AM$4),MONTH(AM$4),$AA12)&gt;=AM$3,DATE(YEAR(AM$4),MONTH(AM$4),$AA12)&lt;=AM$4)),'Kosten | Costs'!$D$16,0))</f>
        <v/>
      </c>
    </row>
    <row r="13">
      <c r="A13" s="107" t="inlineStr">
        <is>
          <t>kpi.low</t>
        </is>
      </c>
      <c r="B13" s="113" t="inlineStr">
        <is>
          <t>Tiefststand 12 Wochen</t>
        </is>
      </c>
      <c r="C13" s="113" t="inlineStr">
        <is>
          <t>Lowest point, 12 weeks</t>
        </is>
      </c>
      <c r="J13" s="113">
        <f>IFERROR(INDEX('Rechnungen | Invoices'!$C$9:$C$108,MATCH(0,INDEX(COUNTIF($J$4:J12,'Rechnungen | Invoices'!$C$9:$C$108)+('Rechnungen | Invoices'!$C$9:$C$108=""),0),0)),"")</f>
        <v/>
      </c>
      <c r="L13" t="n">
        <v>9</v>
      </c>
      <c r="M13" s="109">
        <f>M12+7</f>
        <v/>
      </c>
      <c r="N13" s="109">
        <f>M13+6</f>
        <v/>
      </c>
      <c r="O13" s="114">
        <f>SUMIFS('Rechnungen | Invoices'!$Q$9:$Q$108,'Rechnungen | Invoices'!$R$9:$R$108,"&gt;="&amp;M13,'Rechnungen | Invoices'!$R$9:$R$108,"&lt;="&amp;N13)</f>
        <v/>
      </c>
      <c r="P13" s="114">
        <f>SUMIFS('Rechnungen | Invoices'!$S$9:$S$108,'Rechnungen | Invoices'!$L$9:$L$108,"&gt;="&amp;M13,'Rechnungen | Invoices'!$L$9:$L$108,"&lt;="&amp;N13)</f>
        <v/>
      </c>
      <c r="Q13" s="114">
        <f>AJ$25</f>
        <v/>
      </c>
      <c r="R13" s="114">
        <f>SUMIFS('Kosten | Costs'!$D$34:$D$63,'Kosten | Costs'!$E$34:$E$63,"&gt;="&amp;M13,'Kosten | Costs'!$E$34:$E$63,"&lt;="&amp;N13)</f>
        <v/>
      </c>
      <c r="S13" s="114">
        <f>IF(VATON=0,0,IF(AND(DATE(YEAR(M13),MONTH(M13),VATDAY)&gt;=M13,DATE(YEAR(M13),MONTH(M13),VATDAY)&lt;=N13),SUMIFS('Rechnungen | Invoices'!$P$9:$P$108,'Rechnungen | Invoices'!$H$9:$H$108,"&gt;="&amp;DATE(YEAR(M13),MONTH(M13)-1,1),'Rechnungen | Invoices'!$H$9:$H$108,"&lt;="&amp;DATE(YEAR(M13),MONTH(M13),1)-1),0)+IF(AND(MONTH(M13)&lt;&gt;MONTH(N13),DATE(YEAR(N13),MONTH(N13),VATDAY)&gt;=M13,DATE(YEAR(N13),MONTH(N13),VATDAY)&lt;=N13),SUMIFS('Rechnungen | Invoices'!$P$9:$P$108,'Rechnungen | Invoices'!$H$9:$H$108,"&gt;="&amp;DATE(YEAR(N13),MONTH(N13)-1,1),'Rechnungen | Invoices'!$H$9:$H$108,"&lt;="&amp;DATE(YEAR(N13),MONTH(N13),1)-1),0))</f>
        <v/>
      </c>
      <c r="T13" s="114">
        <f>Q13+R13+S13</f>
        <v/>
      </c>
      <c r="U13" s="114">
        <f>U12+O13-T13</f>
        <v/>
      </c>
      <c r="V13" s="114">
        <f>V12+P13-T13</f>
        <v/>
      </c>
      <c r="W13">
        <f>IF(V13&lt;MINCASH,2,IF(V13&lt;MINCASH*YELLOWF,1,0))</f>
        <v/>
      </c>
      <c r="X13" s="114">
        <f>MINCASH</f>
        <v/>
      </c>
      <c r="Y13">
        <f>INDEX(Config!$B$6:$C$104,MATCH("lbl.week",Config!$A$6:$A$104,0),LANG)&amp;" "&amp;ISOWEEKNUM(M13)</f>
        <v/>
      </c>
      <c r="AA13">
        <f>IF('Kosten | Costs'!$E$17="",1,MIN(28,MAX(1,'Kosten | Costs'!$E$17)))</f>
        <v/>
      </c>
      <c r="AB13">
        <f>IF(N('Kosten | Costs'!$D$17)=0,0,IF(OR(AND(DATE(YEAR(AB$3),MONTH(AB$3),$AA13)&gt;=AB$3,DATE(YEAR(AB$3),MONTH(AB$3),$AA13)&lt;=AB$4),AND(DATE(YEAR(AB$4),MONTH(AB$4),$AA13)&gt;=AB$3,DATE(YEAR(AB$4),MONTH(AB$4),$AA13)&lt;=AB$4)),'Kosten | Costs'!$D$17,0))</f>
        <v/>
      </c>
      <c r="AC13">
        <f>IF(N('Kosten | Costs'!$D$17)=0,0,IF(OR(AND(DATE(YEAR(AC$3),MONTH(AC$3),$AA13)&gt;=AC$3,DATE(YEAR(AC$3),MONTH(AC$3),$AA13)&lt;=AC$4),AND(DATE(YEAR(AC$4),MONTH(AC$4),$AA13)&gt;=AC$3,DATE(YEAR(AC$4),MONTH(AC$4),$AA13)&lt;=AC$4)),'Kosten | Costs'!$D$17,0))</f>
        <v/>
      </c>
      <c r="AD13">
        <f>IF(N('Kosten | Costs'!$D$17)=0,0,IF(OR(AND(DATE(YEAR(AD$3),MONTH(AD$3),$AA13)&gt;=AD$3,DATE(YEAR(AD$3),MONTH(AD$3),$AA13)&lt;=AD$4),AND(DATE(YEAR(AD$4),MONTH(AD$4),$AA13)&gt;=AD$3,DATE(YEAR(AD$4),MONTH(AD$4),$AA13)&lt;=AD$4)),'Kosten | Costs'!$D$17,0))</f>
        <v/>
      </c>
      <c r="AE13">
        <f>IF(N('Kosten | Costs'!$D$17)=0,0,IF(OR(AND(DATE(YEAR(AE$3),MONTH(AE$3),$AA13)&gt;=AE$3,DATE(YEAR(AE$3),MONTH(AE$3),$AA13)&lt;=AE$4),AND(DATE(YEAR(AE$4),MONTH(AE$4),$AA13)&gt;=AE$3,DATE(YEAR(AE$4),MONTH(AE$4),$AA13)&lt;=AE$4)),'Kosten | Costs'!$D$17,0))</f>
        <v/>
      </c>
      <c r="AF13">
        <f>IF(N('Kosten | Costs'!$D$17)=0,0,IF(OR(AND(DATE(YEAR(AF$3),MONTH(AF$3),$AA13)&gt;=AF$3,DATE(YEAR(AF$3),MONTH(AF$3),$AA13)&lt;=AF$4),AND(DATE(YEAR(AF$4),MONTH(AF$4),$AA13)&gt;=AF$3,DATE(YEAR(AF$4),MONTH(AF$4),$AA13)&lt;=AF$4)),'Kosten | Costs'!$D$17,0))</f>
        <v/>
      </c>
      <c r="AG13">
        <f>IF(N('Kosten | Costs'!$D$17)=0,0,IF(OR(AND(DATE(YEAR(AG$3),MONTH(AG$3),$AA13)&gt;=AG$3,DATE(YEAR(AG$3),MONTH(AG$3),$AA13)&lt;=AG$4),AND(DATE(YEAR(AG$4),MONTH(AG$4),$AA13)&gt;=AG$3,DATE(YEAR(AG$4),MONTH(AG$4),$AA13)&lt;=AG$4)),'Kosten | Costs'!$D$17,0))</f>
        <v/>
      </c>
      <c r="AH13">
        <f>IF(N('Kosten | Costs'!$D$17)=0,0,IF(OR(AND(DATE(YEAR(AH$3),MONTH(AH$3),$AA13)&gt;=AH$3,DATE(YEAR(AH$3),MONTH(AH$3),$AA13)&lt;=AH$4),AND(DATE(YEAR(AH$4),MONTH(AH$4),$AA13)&gt;=AH$3,DATE(YEAR(AH$4),MONTH(AH$4),$AA13)&lt;=AH$4)),'Kosten | Costs'!$D$17,0))</f>
        <v/>
      </c>
      <c r="AI13">
        <f>IF(N('Kosten | Costs'!$D$17)=0,0,IF(OR(AND(DATE(YEAR(AI$3),MONTH(AI$3),$AA13)&gt;=AI$3,DATE(YEAR(AI$3),MONTH(AI$3),$AA13)&lt;=AI$4),AND(DATE(YEAR(AI$4),MONTH(AI$4),$AA13)&gt;=AI$3,DATE(YEAR(AI$4),MONTH(AI$4),$AA13)&lt;=AI$4)),'Kosten | Costs'!$D$17,0))</f>
        <v/>
      </c>
      <c r="AJ13">
        <f>IF(N('Kosten | Costs'!$D$17)=0,0,IF(OR(AND(DATE(YEAR(AJ$3),MONTH(AJ$3),$AA13)&gt;=AJ$3,DATE(YEAR(AJ$3),MONTH(AJ$3),$AA13)&lt;=AJ$4),AND(DATE(YEAR(AJ$4),MONTH(AJ$4),$AA13)&gt;=AJ$3,DATE(YEAR(AJ$4),MONTH(AJ$4),$AA13)&lt;=AJ$4)),'Kosten | Costs'!$D$17,0))</f>
        <v/>
      </c>
      <c r="AK13">
        <f>IF(N('Kosten | Costs'!$D$17)=0,0,IF(OR(AND(DATE(YEAR(AK$3),MONTH(AK$3),$AA13)&gt;=AK$3,DATE(YEAR(AK$3),MONTH(AK$3),$AA13)&lt;=AK$4),AND(DATE(YEAR(AK$4),MONTH(AK$4),$AA13)&gt;=AK$3,DATE(YEAR(AK$4),MONTH(AK$4),$AA13)&lt;=AK$4)),'Kosten | Costs'!$D$17,0))</f>
        <v/>
      </c>
      <c r="AL13">
        <f>IF(N('Kosten | Costs'!$D$17)=0,0,IF(OR(AND(DATE(YEAR(AL$3),MONTH(AL$3),$AA13)&gt;=AL$3,DATE(YEAR(AL$3),MONTH(AL$3),$AA13)&lt;=AL$4),AND(DATE(YEAR(AL$4),MONTH(AL$4),$AA13)&gt;=AL$3,DATE(YEAR(AL$4),MONTH(AL$4),$AA13)&lt;=AL$4)),'Kosten | Costs'!$D$17,0))</f>
        <v/>
      </c>
      <c r="AM13">
        <f>IF(N('Kosten | Costs'!$D$17)=0,0,IF(OR(AND(DATE(YEAR(AM$3),MONTH(AM$3),$AA13)&gt;=AM$3,DATE(YEAR(AM$3),MONTH(AM$3),$AA13)&lt;=AM$4),AND(DATE(YEAR(AM$4),MONTH(AM$4),$AA13)&gt;=AM$3,DATE(YEAR(AM$4),MONTH(AM$4),$AA13)&lt;=AM$4)),'Kosten | Costs'!$D$17,0))</f>
        <v/>
      </c>
    </row>
    <row r="14">
      <c r="A14" s="107" t="inlineStr">
        <is>
          <t>kpi.low.sub</t>
        </is>
      </c>
      <c r="B14" s="113" t="inlineStr">
        <is>
          <t>inklusive Szenario</t>
        </is>
      </c>
      <c r="C14" s="113" t="inlineStr">
        <is>
          <t>including scenario</t>
        </is>
      </c>
      <c r="J14" s="113">
        <f>IFERROR(INDEX('Rechnungen | Invoices'!$C$9:$C$108,MATCH(0,INDEX(COUNTIF($J$4:J13,'Rechnungen | Invoices'!$C$9:$C$108)+('Rechnungen | Invoices'!$C$9:$C$108=""),0),0)),"")</f>
        <v/>
      </c>
      <c r="L14" t="n">
        <v>10</v>
      </c>
      <c r="M14" s="109">
        <f>M13+7</f>
        <v/>
      </c>
      <c r="N14" s="109">
        <f>M14+6</f>
        <v/>
      </c>
      <c r="O14" s="114">
        <f>SUMIFS('Rechnungen | Invoices'!$Q$9:$Q$108,'Rechnungen | Invoices'!$R$9:$R$108,"&gt;="&amp;M14,'Rechnungen | Invoices'!$R$9:$R$108,"&lt;="&amp;N14)</f>
        <v/>
      </c>
      <c r="P14" s="114">
        <f>SUMIFS('Rechnungen | Invoices'!$S$9:$S$108,'Rechnungen | Invoices'!$L$9:$L$108,"&gt;="&amp;M14,'Rechnungen | Invoices'!$L$9:$L$108,"&lt;="&amp;N14)</f>
        <v/>
      </c>
      <c r="Q14" s="114">
        <f>AK$25</f>
        <v/>
      </c>
      <c r="R14" s="114">
        <f>SUMIFS('Kosten | Costs'!$D$34:$D$63,'Kosten | Costs'!$E$34:$E$63,"&gt;="&amp;M14,'Kosten | Costs'!$E$34:$E$63,"&lt;="&amp;N14)</f>
        <v/>
      </c>
      <c r="S14" s="114">
        <f>IF(VATON=0,0,IF(AND(DATE(YEAR(M14),MONTH(M14),VATDAY)&gt;=M14,DATE(YEAR(M14),MONTH(M14),VATDAY)&lt;=N14),SUMIFS('Rechnungen | Invoices'!$P$9:$P$108,'Rechnungen | Invoices'!$H$9:$H$108,"&gt;="&amp;DATE(YEAR(M14),MONTH(M14)-1,1),'Rechnungen | Invoices'!$H$9:$H$108,"&lt;="&amp;DATE(YEAR(M14),MONTH(M14),1)-1),0)+IF(AND(MONTH(M14)&lt;&gt;MONTH(N14),DATE(YEAR(N14),MONTH(N14),VATDAY)&gt;=M14,DATE(YEAR(N14),MONTH(N14),VATDAY)&lt;=N14),SUMIFS('Rechnungen | Invoices'!$P$9:$P$108,'Rechnungen | Invoices'!$H$9:$H$108,"&gt;="&amp;DATE(YEAR(N14),MONTH(N14)-1,1),'Rechnungen | Invoices'!$H$9:$H$108,"&lt;="&amp;DATE(YEAR(N14),MONTH(N14),1)-1),0))</f>
        <v/>
      </c>
      <c r="T14" s="114">
        <f>Q14+R14+S14</f>
        <v/>
      </c>
      <c r="U14" s="114">
        <f>U13+O14-T14</f>
        <v/>
      </c>
      <c r="V14" s="114">
        <f>V13+P14-T14</f>
        <v/>
      </c>
      <c r="W14">
        <f>IF(V14&lt;MINCASH,2,IF(V14&lt;MINCASH*YELLOWF,1,0))</f>
        <v/>
      </c>
      <c r="X14" s="114">
        <f>MINCASH</f>
        <v/>
      </c>
      <c r="Y14">
        <f>INDEX(Config!$B$6:$C$104,MATCH("lbl.week",Config!$A$6:$A$104,0),LANG)&amp;" "&amp;ISOWEEKNUM(M14)</f>
        <v/>
      </c>
      <c r="AA14">
        <f>IF('Kosten | Costs'!$E$18="",1,MIN(28,MAX(1,'Kosten | Costs'!$E$18)))</f>
        <v/>
      </c>
      <c r="AB14">
        <f>IF(N('Kosten | Costs'!$D$18)=0,0,IF(OR(AND(DATE(YEAR(AB$3),MONTH(AB$3),$AA14)&gt;=AB$3,DATE(YEAR(AB$3),MONTH(AB$3),$AA14)&lt;=AB$4),AND(DATE(YEAR(AB$4),MONTH(AB$4),$AA14)&gt;=AB$3,DATE(YEAR(AB$4),MONTH(AB$4),$AA14)&lt;=AB$4)),'Kosten | Costs'!$D$18,0))</f>
        <v/>
      </c>
      <c r="AC14">
        <f>IF(N('Kosten | Costs'!$D$18)=0,0,IF(OR(AND(DATE(YEAR(AC$3),MONTH(AC$3),$AA14)&gt;=AC$3,DATE(YEAR(AC$3),MONTH(AC$3),$AA14)&lt;=AC$4),AND(DATE(YEAR(AC$4),MONTH(AC$4),$AA14)&gt;=AC$3,DATE(YEAR(AC$4),MONTH(AC$4),$AA14)&lt;=AC$4)),'Kosten | Costs'!$D$18,0))</f>
        <v/>
      </c>
      <c r="AD14">
        <f>IF(N('Kosten | Costs'!$D$18)=0,0,IF(OR(AND(DATE(YEAR(AD$3),MONTH(AD$3),$AA14)&gt;=AD$3,DATE(YEAR(AD$3),MONTH(AD$3),$AA14)&lt;=AD$4),AND(DATE(YEAR(AD$4),MONTH(AD$4),$AA14)&gt;=AD$3,DATE(YEAR(AD$4),MONTH(AD$4),$AA14)&lt;=AD$4)),'Kosten | Costs'!$D$18,0))</f>
        <v/>
      </c>
      <c r="AE14">
        <f>IF(N('Kosten | Costs'!$D$18)=0,0,IF(OR(AND(DATE(YEAR(AE$3),MONTH(AE$3),$AA14)&gt;=AE$3,DATE(YEAR(AE$3),MONTH(AE$3),$AA14)&lt;=AE$4),AND(DATE(YEAR(AE$4),MONTH(AE$4),$AA14)&gt;=AE$3,DATE(YEAR(AE$4),MONTH(AE$4),$AA14)&lt;=AE$4)),'Kosten | Costs'!$D$18,0))</f>
        <v/>
      </c>
      <c r="AF14">
        <f>IF(N('Kosten | Costs'!$D$18)=0,0,IF(OR(AND(DATE(YEAR(AF$3),MONTH(AF$3),$AA14)&gt;=AF$3,DATE(YEAR(AF$3),MONTH(AF$3),$AA14)&lt;=AF$4),AND(DATE(YEAR(AF$4),MONTH(AF$4),$AA14)&gt;=AF$3,DATE(YEAR(AF$4),MONTH(AF$4),$AA14)&lt;=AF$4)),'Kosten | Costs'!$D$18,0))</f>
        <v/>
      </c>
      <c r="AG14">
        <f>IF(N('Kosten | Costs'!$D$18)=0,0,IF(OR(AND(DATE(YEAR(AG$3),MONTH(AG$3),$AA14)&gt;=AG$3,DATE(YEAR(AG$3),MONTH(AG$3),$AA14)&lt;=AG$4),AND(DATE(YEAR(AG$4),MONTH(AG$4),$AA14)&gt;=AG$3,DATE(YEAR(AG$4),MONTH(AG$4),$AA14)&lt;=AG$4)),'Kosten | Costs'!$D$18,0))</f>
        <v/>
      </c>
      <c r="AH14">
        <f>IF(N('Kosten | Costs'!$D$18)=0,0,IF(OR(AND(DATE(YEAR(AH$3),MONTH(AH$3),$AA14)&gt;=AH$3,DATE(YEAR(AH$3),MONTH(AH$3),$AA14)&lt;=AH$4),AND(DATE(YEAR(AH$4),MONTH(AH$4),$AA14)&gt;=AH$3,DATE(YEAR(AH$4),MONTH(AH$4),$AA14)&lt;=AH$4)),'Kosten | Costs'!$D$18,0))</f>
        <v/>
      </c>
      <c r="AI14">
        <f>IF(N('Kosten | Costs'!$D$18)=0,0,IF(OR(AND(DATE(YEAR(AI$3),MONTH(AI$3),$AA14)&gt;=AI$3,DATE(YEAR(AI$3),MONTH(AI$3),$AA14)&lt;=AI$4),AND(DATE(YEAR(AI$4),MONTH(AI$4),$AA14)&gt;=AI$3,DATE(YEAR(AI$4),MONTH(AI$4),$AA14)&lt;=AI$4)),'Kosten | Costs'!$D$18,0))</f>
        <v/>
      </c>
      <c r="AJ14">
        <f>IF(N('Kosten | Costs'!$D$18)=0,0,IF(OR(AND(DATE(YEAR(AJ$3),MONTH(AJ$3),$AA14)&gt;=AJ$3,DATE(YEAR(AJ$3),MONTH(AJ$3),$AA14)&lt;=AJ$4),AND(DATE(YEAR(AJ$4),MONTH(AJ$4),$AA14)&gt;=AJ$3,DATE(YEAR(AJ$4),MONTH(AJ$4),$AA14)&lt;=AJ$4)),'Kosten | Costs'!$D$18,0))</f>
        <v/>
      </c>
      <c r="AK14">
        <f>IF(N('Kosten | Costs'!$D$18)=0,0,IF(OR(AND(DATE(YEAR(AK$3),MONTH(AK$3),$AA14)&gt;=AK$3,DATE(YEAR(AK$3),MONTH(AK$3),$AA14)&lt;=AK$4),AND(DATE(YEAR(AK$4),MONTH(AK$4),$AA14)&gt;=AK$3,DATE(YEAR(AK$4),MONTH(AK$4),$AA14)&lt;=AK$4)),'Kosten | Costs'!$D$18,0))</f>
        <v/>
      </c>
      <c r="AL14">
        <f>IF(N('Kosten | Costs'!$D$18)=0,0,IF(OR(AND(DATE(YEAR(AL$3),MONTH(AL$3),$AA14)&gt;=AL$3,DATE(YEAR(AL$3),MONTH(AL$3),$AA14)&lt;=AL$4),AND(DATE(YEAR(AL$4),MONTH(AL$4),$AA14)&gt;=AL$3,DATE(YEAR(AL$4),MONTH(AL$4),$AA14)&lt;=AL$4)),'Kosten | Costs'!$D$18,0))</f>
        <v/>
      </c>
      <c r="AM14">
        <f>IF(N('Kosten | Costs'!$D$18)=0,0,IF(OR(AND(DATE(YEAR(AM$3),MONTH(AM$3),$AA14)&gt;=AM$3,DATE(YEAR(AM$3),MONTH(AM$3),$AA14)&lt;=AM$4),AND(DATE(YEAR(AM$4),MONTH(AM$4),$AA14)&gt;=AM$3,DATE(YEAR(AM$4),MONTH(AM$4),$AA14)&lt;=AM$4)),'Kosten | Costs'!$D$18,0))</f>
        <v/>
      </c>
    </row>
    <row r="15">
      <c r="A15" s="107" t="inlineStr">
        <is>
          <t>kpi.status</t>
        </is>
      </c>
      <c r="B15" s="113" t="inlineStr">
        <is>
          <t>Frühwarn-Status</t>
        </is>
      </c>
      <c r="C15" s="113" t="inlineStr">
        <is>
          <t>Early warning status</t>
        </is>
      </c>
      <c r="J15" s="113">
        <f>IFERROR(INDEX('Rechnungen | Invoices'!$C$9:$C$108,MATCH(0,INDEX(COUNTIF($J$4:J14,'Rechnungen | Invoices'!$C$9:$C$108)+('Rechnungen | Invoices'!$C$9:$C$108=""),0),0)),"")</f>
        <v/>
      </c>
      <c r="L15" t="n">
        <v>11</v>
      </c>
      <c r="M15" s="109">
        <f>M14+7</f>
        <v/>
      </c>
      <c r="N15" s="109">
        <f>M15+6</f>
        <v/>
      </c>
      <c r="O15" s="114">
        <f>SUMIFS('Rechnungen | Invoices'!$Q$9:$Q$108,'Rechnungen | Invoices'!$R$9:$R$108,"&gt;="&amp;M15,'Rechnungen | Invoices'!$R$9:$R$108,"&lt;="&amp;N15)</f>
        <v/>
      </c>
      <c r="P15" s="114">
        <f>SUMIFS('Rechnungen | Invoices'!$S$9:$S$108,'Rechnungen | Invoices'!$L$9:$L$108,"&gt;="&amp;M15,'Rechnungen | Invoices'!$L$9:$L$108,"&lt;="&amp;N15)</f>
        <v/>
      </c>
      <c r="Q15" s="114">
        <f>AL$25</f>
        <v/>
      </c>
      <c r="R15" s="114">
        <f>SUMIFS('Kosten | Costs'!$D$34:$D$63,'Kosten | Costs'!$E$34:$E$63,"&gt;="&amp;M15,'Kosten | Costs'!$E$34:$E$63,"&lt;="&amp;N15)</f>
        <v/>
      </c>
      <c r="S15" s="114">
        <f>IF(VATON=0,0,IF(AND(DATE(YEAR(M15),MONTH(M15),VATDAY)&gt;=M15,DATE(YEAR(M15),MONTH(M15),VATDAY)&lt;=N15),SUMIFS('Rechnungen | Invoices'!$P$9:$P$108,'Rechnungen | Invoices'!$H$9:$H$108,"&gt;="&amp;DATE(YEAR(M15),MONTH(M15)-1,1),'Rechnungen | Invoices'!$H$9:$H$108,"&lt;="&amp;DATE(YEAR(M15),MONTH(M15),1)-1),0)+IF(AND(MONTH(M15)&lt;&gt;MONTH(N15),DATE(YEAR(N15),MONTH(N15),VATDAY)&gt;=M15,DATE(YEAR(N15),MONTH(N15),VATDAY)&lt;=N15),SUMIFS('Rechnungen | Invoices'!$P$9:$P$108,'Rechnungen | Invoices'!$H$9:$H$108,"&gt;="&amp;DATE(YEAR(N15),MONTH(N15)-1,1),'Rechnungen | Invoices'!$H$9:$H$108,"&lt;="&amp;DATE(YEAR(N15),MONTH(N15),1)-1),0))</f>
        <v/>
      </c>
      <c r="T15" s="114">
        <f>Q15+R15+S15</f>
        <v/>
      </c>
      <c r="U15" s="114">
        <f>U14+O15-T15</f>
        <v/>
      </c>
      <c r="V15" s="114">
        <f>V14+P15-T15</f>
        <v/>
      </c>
      <c r="W15">
        <f>IF(V15&lt;MINCASH,2,IF(V15&lt;MINCASH*YELLOWF,1,0))</f>
        <v/>
      </c>
      <c r="X15" s="114">
        <f>MINCASH</f>
        <v/>
      </c>
      <c r="Y15">
        <f>INDEX(Config!$B$6:$C$104,MATCH("lbl.week",Config!$A$6:$A$104,0),LANG)&amp;" "&amp;ISOWEEKNUM(M15)</f>
        <v/>
      </c>
      <c r="AA15">
        <f>IF('Kosten | Costs'!$E$19="",1,MIN(28,MAX(1,'Kosten | Costs'!$E$19)))</f>
        <v/>
      </c>
      <c r="AB15">
        <f>IF(N('Kosten | Costs'!$D$19)=0,0,IF(OR(AND(DATE(YEAR(AB$3),MONTH(AB$3),$AA15)&gt;=AB$3,DATE(YEAR(AB$3),MONTH(AB$3),$AA15)&lt;=AB$4),AND(DATE(YEAR(AB$4),MONTH(AB$4),$AA15)&gt;=AB$3,DATE(YEAR(AB$4),MONTH(AB$4),$AA15)&lt;=AB$4)),'Kosten | Costs'!$D$19,0))</f>
        <v/>
      </c>
      <c r="AC15">
        <f>IF(N('Kosten | Costs'!$D$19)=0,0,IF(OR(AND(DATE(YEAR(AC$3),MONTH(AC$3),$AA15)&gt;=AC$3,DATE(YEAR(AC$3),MONTH(AC$3),$AA15)&lt;=AC$4),AND(DATE(YEAR(AC$4),MONTH(AC$4),$AA15)&gt;=AC$3,DATE(YEAR(AC$4),MONTH(AC$4),$AA15)&lt;=AC$4)),'Kosten | Costs'!$D$19,0))</f>
        <v/>
      </c>
      <c r="AD15">
        <f>IF(N('Kosten | Costs'!$D$19)=0,0,IF(OR(AND(DATE(YEAR(AD$3),MONTH(AD$3),$AA15)&gt;=AD$3,DATE(YEAR(AD$3),MONTH(AD$3),$AA15)&lt;=AD$4),AND(DATE(YEAR(AD$4),MONTH(AD$4),$AA15)&gt;=AD$3,DATE(YEAR(AD$4),MONTH(AD$4),$AA15)&lt;=AD$4)),'Kosten | Costs'!$D$19,0))</f>
        <v/>
      </c>
      <c r="AE15">
        <f>IF(N('Kosten | Costs'!$D$19)=0,0,IF(OR(AND(DATE(YEAR(AE$3),MONTH(AE$3),$AA15)&gt;=AE$3,DATE(YEAR(AE$3),MONTH(AE$3),$AA15)&lt;=AE$4),AND(DATE(YEAR(AE$4),MONTH(AE$4),$AA15)&gt;=AE$3,DATE(YEAR(AE$4),MONTH(AE$4),$AA15)&lt;=AE$4)),'Kosten | Costs'!$D$19,0))</f>
        <v/>
      </c>
      <c r="AF15">
        <f>IF(N('Kosten | Costs'!$D$19)=0,0,IF(OR(AND(DATE(YEAR(AF$3),MONTH(AF$3),$AA15)&gt;=AF$3,DATE(YEAR(AF$3),MONTH(AF$3),$AA15)&lt;=AF$4),AND(DATE(YEAR(AF$4),MONTH(AF$4),$AA15)&gt;=AF$3,DATE(YEAR(AF$4),MONTH(AF$4),$AA15)&lt;=AF$4)),'Kosten | Costs'!$D$19,0))</f>
        <v/>
      </c>
      <c r="AG15">
        <f>IF(N('Kosten | Costs'!$D$19)=0,0,IF(OR(AND(DATE(YEAR(AG$3),MONTH(AG$3),$AA15)&gt;=AG$3,DATE(YEAR(AG$3),MONTH(AG$3),$AA15)&lt;=AG$4),AND(DATE(YEAR(AG$4),MONTH(AG$4),$AA15)&gt;=AG$3,DATE(YEAR(AG$4),MONTH(AG$4),$AA15)&lt;=AG$4)),'Kosten | Costs'!$D$19,0))</f>
        <v/>
      </c>
      <c r="AH15">
        <f>IF(N('Kosten | Costs'!$D$19)=0,0,IF(OR(AND(DATE(YEAR(AH$3),MONTH(AH$3),$AA15)&gt;=AH$3,DATE(YEAR(AH$3),MONTH(AH$3),$AA15)&lt;=AH$4),AND(DATE(YEAR(AH$4),MONTH(AH$4),$AA15)&gt;=AH$3,DATE(YEAR(AH$4),MONTH(AH$4),$AA15)&lt;=AH$4)),'Kosten | Costs'!$D$19,0))</f>
        <v/>
      </c>
      <c r="AI15">
        <f>IF(N('Kosten | Costs'!$D$19)=0,0,IF(OR(AND(DATE(YEAR(AI$3),MONTH(AI$3),$AA15)&gt;=AI$3,DATE(YEAR(AI$3),MONTH(AI$3),$AA15)&lt;=AI$4),AND(DATE(YEAR(AI$4),MONTH(AI$4),$AA15)&gt;=AI$3,DATE(YEAR(AI$4),MONTH(AI$4),$AA15)&lt;=AI$4)),'Kosten | Costs'!$D$19,0))</f>
        <v/>
      </c>
      <c r="AJ15">
        <f>IF(N('Kosten | Costs'!$D$19)=0,0,IF(OR(AND(DATE(YEAR(AJ$3),MONTH(AJ$3),$AA15)&gt;=AJ$3,DATE(YEAR(AJ$3),MONTH(AJ$3),$AA15)&lt;=AJ$4),AND(DATE(YEAR(AJ$4),MONTH(AJ$4),$AA15)&gt;=AJ$3,DATE(YEAR(AJ$4),MONTH(AJ$4),$AA15)&lt;=AJ$4)),'Kosten | Costs'!$D$19,0))</f>
        <v/>
      </c>
      <c r="AK15">
        <f>IF(N('Kosten | Costs'!$D$19)=0,0,IF(OR(AND(DATE(YEAR(AK$3),MONTH(AK$3),$AA15)&gt;=AK$3,DATE(YEAR(AK$3),MONTH(AK$3),$AA15)&lt;=AK$4),AND(DATE(YEAR(AK$4),MONTH(AK$4),$AA15)&gt;=AK$3,DATE(YEAR(AK$4),MONTH(AK$4),$AA15)&lt;=AK$4)),'Kosten | Costs'!$D$19,0))</f>
        <v/>
      </c>
      <c r="AL15">
        <f>IF(N('Kosten | Costs'!$D$19)=0,0,IF(OR(AND(DATE(YEAR(AL$3),MONTH(AL$3),$AA15)&gt;=AL$3,DATE(YEAR(AL$3),MONTH(AL$3),$AA15)&lt;=AL$4),AND(DATE(YEAR(AL$4),MONTH(AL$4),$AA15)&gt;=AL$3,DATE(YEAR(AL$4),MONTH(AL$4),$AA15)&lt;=AL$4)),'Kosten | Costs'!$D$19,0))</f>
        <v/>
      </c>
      <c r="AM15">
        <f>IF(N('Kosten | Costs'!$D$19)=0,0,IF(OR(AND(DATE(YEAR(AM$3),MONTH(AM$3),$AA15)&gt;=AM$3,DATE(YEAR(AM$3),MONTH(AM$3),$AA15)&lt;=AM$4),AND(DATE(YEAR(AM$4),MONTH(AM$4),$AA15)&gt;=AM$3,DATE(YEAR(AM$4),MONTH(AM$4),$AA15)&lt;=AM$4)),'Kosten | Costs'!$D$19,0))</f>
        <v/>
      </c>
    </row>
    <row r="16">
      <c r="A16" s="107" t="inlineStr">
        <is>
          <t>kpi.status.sub</t>
        </is>
      </c>
      <c r="B16" s="113" t="inlineStr">
        <is>
          <t>gemessen an der Mindestreserve</t>
        </is>
      </c>
      <c r="C16" s="113" t="inlineStr">
        <is>
          <t>measured against the minimum reserve</t>
        </is>
      </c>
      <c r="J16" s="113">
        <f>IFERROR(INDEX('Rechnungen | Invoices'!$C$9:$C$108,MATCH(0,INDEX(COUNTIF($J$4:J15,'Rechnungen | Invoices'!$C$9:$C$108)+('Rechnungen | Invoices'!$C$9:$C$108=""),0),0)),"")</f>
        <v/>
      </c>
      <c r="L16" t="n">
        <v>12</v>
      </c>
      <c r="M16" s="109">
        <f>M15+7</f>
        <v/>
      </c>
      <c r="N16" s="109">
        <f>M16+6</f>
        <v/>
      </c>
      <c r="O16" s="114">
        <f>SUMIFS('Rechnungen | Invoices'!$Q$9:$Q$108,'Rechnungen | Invoices'!$R$9:$R$108,"&gt;="&amp;M16,'Rechnungen | Invoices'!$R$9:$R$108,"&lt;="&amp;N16)</f>
        <v/>
      </c>
      <c r="P16" s="114">
        <f>SUMIFS('Rechnungen | Invoices'!$S$9:$S$108,'Rechnungen | Invoices'!$L$9:$L$108,"&gt;="&amp;M16,'Rechnungen | Invoices'!$L$9:$L$108,"&lt;="&amp;N16)</f>
        <v/>
      </c>
      <c r="Q16" s="114">
        <f>AM$25</f>
        <v/>
      </c>
      <c r="R16" s="114">
        <f>SUMIFS('Kosten | Costs'!$D$34:$D$63,'Kosten | Costs'!$E$34:$E$63,"&gt;="&amp;M16,'Kosten | Costs'!$E$34:$E$63,"&lt;="&amp;N16)</f>
        <v/>
      </c>
      <c r="S16" s="114">
        <f>IF(VATON=0,0,IF(AND(DATE(YEAR(M16),MONTH(M16),VATDAY)&gt;=M16,DATE(YEAR(M16),MONTH(M16),VATDAY)&lt;=N16),SUMIFS('Rechnungen | Invoices'!$P$9:$P$108,'Rechnungen | Invoices'!$H$9:$H$108,"&gt;="&amp;DATE(YEAR(M16),MONTH(M16)-1,1),'Rechnungen | Invoices'!$H$9:$H$108,"&lt;="&amp;DATE(YEAR(M16),MONTH(M16),1)-1),0)+IF(AND(MONTH(M16)&lt;&gt;MONTH(N16),DATE(YEAR(N16),MONTH(N16),VATDAY)&gt;=M16,DATE(YEAR(N16),MONTH(N16),VATDAY)&lt;=N16),SUMIFS('Rechnungen | Invoices'!$P$9:$P$108,'Rechnungen | Invoices'!$H$9:$H$108,"&gt;="&amp;DATE(YEAR(N16),MONTH(N16)-1,1),'Rechnungen | Invoices'!$H$9:$H$108,"&lt;="&amp;DATE(YEAR(N16),MONTH(N16),1)-1),0))</f>
        <v/>
      </c>
      <c r="T16" s="114">
        <f>Q16+R16+S16</f>
        <v/>
      </c>
      <c r="U16" s="114">
        <f>U15+O16-T16</f>
        <v/>
      </c>
      <c r="V16" s="114">
        <f>V15+P16-T16</f>
        <v/>
      </c>
      <c r="W16">
        <f>IF(V16&lt;MINCASH,2,IF(V16&lt;MINCASH*YELLOWF,1,0))</f>
        <v/>
      </c>
      <c r="X16" s="114">
        <f>MINCASH</f>
        <v/>
      </c>
      <c r="Y16">
        <f>INDEX(Config!$B$6:$C$104,MATCH("lbl.week",Config!$A$6:$A$104,0),LANG)&amp;" "&amp;ISOWEEKNUM(M16)</f>
        <v/>
      </c>
      <c r="AA16">
        <f>IF('Kosten | Costs'!$E$20="",1,MIN(28,MAX(1,'Kosten | Costs'!$E$20)))</f>
        <v/>
      </c>
      <c r="AB16">
        <f>IF(N('Kosten | Costs'!$D$20)=0,0,IF(OR(AND(DATE(YEAR(AB$3),MONTH(AB$3),$AA16)&gt;=AB$3,DATE(YEAR(AB$3),MONTH(AB$3),$AA16)&lt;=AB$4),AND(DATE(YEAR(AB$4),MONTH(AB$4),$AA16)&gt;=AB$3,DATE(YEAR(AB$4),MONTH(AB$4),$AA16)&lt;=AB$4)),'Kosten | Costs'!$D$20,0))</f>
        <v/>
      </c>
      <c r="AC16">
        <f>IF(N('Kosten | Costs'!$D$20)=0,0,IF(OR(AND(DATE(YEAR(AC$3),MONTH(AC$3),$AA16)&gt;=AC$3,DATE(YEAR(AC$3),MONTH(AC$3),$AA16)&lt;=AC$4),AND(DATE(YEAR(AC$4),MONTH(AC$4),$AA16)&gt;=AC$3,DATE(YEAR(AC$4),MONTH(AC$4),$AA16)&lt;=AC$4)),'Kosten | Costs'!$D$20,0))</f>
        <v/>
      </c>
      <c r="AD16">
        <f>IF(N('Kosten | Costs'!$D$20)=0,0,IF(OR(AND(DATE(YEAR(AD$3),MONTH(AD$3),$AA16)&gt;=AD$3,DATE(YEAR(AD$3),MONTH(AD$3),$AA16)&lt;=AD$4),AND(DATE(YEAR(AD$4),MONTH(AD$4),$AA16)&gt;=AD$3,DATE(YEAR(AD$4),MONTH(AD$4),$AA16)&lt;=AD$4)),'Kosten | Costs'!$D$20,0))</f>
        <v/>
      </c>
      <c r="AE16">
        <f>IF(N('Kosten | Costs'!$D$20)=0,0,IF(OR(AND(DATE(YEAR(AE$3),MONTH(AE$3),$AA16)&gt;=AE$3,DATE(YEAR(AE$3),MONTH(AE$3),$AA16)&lt;=AE$4),AND(DATE(YEAR(AE$4),MONTH(AE$4),$AA16)&gt;=AE$3,DATE(YEAR(AE$4),MONTH(AE$4),$AA16)&lt;=AE$4)),'Kosten | Costs'!$D$20,0))</f>
        <v/>
      </c>
      <c r="AF16">
        <f>IF(N('Kosten | Costs'!$D$20)=0,0,IF(OR(AND(DATE(YEAR(AF$3),MONTH(AF$3),$AA16)&gt;=AF$3,DATE(YEAR(AF$3),MONTH(AF$3),$AA16)&lt;=AF$4),AND(DATE(YEAR(AF$4),MONTH(AF$4),$AA16)&gt;=AF$3,DATE(YEAR(AF$4),MONTH(AF$4),$AA16)&lt;=AF$4)),'Kosten | Costs'!$D$20,0))</f>
        <v/>
      </c>
      <c r="AG16">
        <f>IF(N('Kosten | Costs'!$D$20)=0,0,IF(OR(AND(DATE(YEAR(AG$3),MONTH(AG$3),$AA16)&gt;=AG$3,DATE(YEAR(AG$3),MONTH(AG$3),$AA16)&lt;=AG$4),AND(DATE(YEAR(AG$4),MONTH(AG$4),$AA16)&gt;=AG$3,DATE(YEAR(AG$4),MONTH(AG$4),$AA16)&lt;=AG$4)),'Kosten | Costs'!$D$20,0))</f>
        <v/>
      </c>
      <c r="AH16">
        <f>IF(N('Kosten | Costs'!$D$20)=0,0,IF(OR(AND(DATE(YEAR(AH$3),MONTH(AH$3),$AA16)&gt;=AH$3,DATE(YEAR(AH$3),MONTH(AH$3),$AA16)&lt;=AH$4),AND(DATE(YEAR(AH$4),MONTH(AH$4),$AA16)&gt;=AH$3,DATE(YEAR(AH$4),MONTH(AH$4),$AA16)&lt;=AH$4)),'Kosten | Costs'!$D$20,0))</f>
        <v/>
      </c>
      <c r="AI16">
        <f>IF(N('Kosten | Costs'!$D$20)=0,0,IF(OR(AND(DATE(YEAR(AI$3),MONTH(AI$3),$AA16)&gt;=AI$3,DATE(YEAR(AI$3),MONTH(AI$3),$AA16)&lt;=AI$4),AND(DATE(YEAR(AI$4),MONTH(AI$4),$AA16)&gt;=AI$3,DATE(YEAR(AI$4),MONTH(AI$4),$AA16)&lt;=AI$4)),'Kosten | Costs'!$D$20,0))</f>
        <v/>
      </c>
      <c r="AJ16">
        <f>IF(N('Kosten | Costs'!$D$20)=0,0,IF(OR(AND(DATE(YEAR(AJ$3),MONTH(AJ$3),$AA16)&gt;=AJ$3,DATE(YEAR(AJ$3),MONTH(AJ$3),$AA16)&lt;=AJ$4),AND(DATE(YEAR(AJ$4),MONTH(AJ$4),$AA16)&gt;=AJ$3,DATE(YEAR(AJ$4),MONTH(AJ$4),$AA16)&lt;=AJ$4)),'Kosten | Costs'!$D$20,0))</f>
        <v/>
      </c>
      <c r="AK16">
        <f>IF(N('Kosten | Costs'!$D$20)=0,0,IF(OR(AND(DATE(YEAR(AK$3),MONTH(AK$3),$AA16)&gt;=AK$3,DATE(YEAR(AK$3),MONTH(AK$3),$AA16)&lt;=AK$4),AND(DATE(YEAR(AK$4),MONTH(AK$4),$AA16)&gt;=AK$3,DATE(YEAR(AK$4),MONTH(AK$4),$AA16)&lt;=AK$4)),'Kosten | Costs'!$D$20,0))</f>
        <v/>
      </c>
      <c r="AL16">
        <f>IF(N('Kosten | Costs'!$D$20)=0,0,IF(OR(AND(DATE(YEAR(AL$3),MONTH(AL$3),$AA16)&gt;=AL$3,DATE(YEAR(AL$3),MONTH(AL$3),$AA16)&lt;=AL$4),AND(DATE(YEAR(AL$4),MONTH(AL$4),$AA16)&gt;=AL$3,DATE(YEAR(AL$4),MONTH(AL$4),$AA16)&lt;=AL$4)),'Kosten | Costs'!$D$20,0))</f>
        <v/>
      </c>
      <c r="AM16">
        <f>IF(N('Kosten | Costs'!$D$20)=0,0,IF(OR(AND(DATE(YEAR(AM$3),MONTH(AM$3),$AA16)&gt;=AM$3,DATE(YEAR(AM$3),MONTH(AM$3),$AA16)&lt;=AM$4),AND(DATE(YEAR(AM$4),MONTH(AM$4),$AA16)&gt;=AM$3,DATE(YEAR(AM$4),MONTH(AM$4),$AA16)&lt;=AM$4)),'Kosten | Costs'!$D$20,0))</f>
        <v/>
      </c>
    </row>
    <row r="17">
      <c r="A17" s="107" t="inlineStr">
        <is>
          <t>status.green</t>
        </is>
      </c>
      <c r="B17" s="113" t="inlineStr">
        <is>
          <t>Alles im grünen Bereich</t>
        </is>
      </c>
      <c r="C17" s="113" t="inlineStr">
        <is>
          <t>All clear</t>
        </is>
      </c>
      <c r="J17" s="113">
        <f>IFERROR(INDEX('Rechnungen | Invoices'!$C$9:$C$108,MATCH(0,INDEX(COUNTIF($J$4:J16,'Rechnungen | Invoices'!$C$9:$C$108)+('Rechnungen | Invoices'!$C$9:$C$108=""),0),0)),"")</f>
        <v/>
      </c>
      <c r="AA17">
        <f>IF('Kosten | Costs'!$E$21="",1,MIN(28,MAX(1,'Kosten | Costs'!$E$21)))</f>
        <v/>
      </c>
      <c r="AB17">
        <f>IF(N('Kosten | Costs'!$D$21)=0,0,IF(OR(AND(DATE(YEAR(AB$3),MONTH(AB$3),$AA17)&gt;=AB$3,DATE(YEAR(AB$3),MONTH(AB$3),$AA17)&lt;=AB$4),AND(DATE(YEAR(AB$4),MONTH(AB$4),$AA17)&gt;=AB$3,DATE(YEAR(AB$4),MONTH(AB$4),$AA17)&lt;=AB$4)),'Kosten | Costs'!$D$21,0))</f>
        <v/>
      </c>
      <c r="AC17">
        <f>IF(N('Kosten | Costs'!$D$21)=0,0,IF(OR(AND(DATE(YEAR(AC$3),MONTH(AC$3),$AA17)&gt;=AC$3,DATE(YEAR(AC$3),MONTH(AC$3),$AA17)&lt;=AC$4),AND(DATE(YEAR(AC$4),MONTH(AC$4),$AA17)&gt;=AC$3,DATE(YEAR(AC$4),MONTH(AC$4),$AA17)&lt;=AC$4)),'Kosten | Costs'!$D$21,0))</f>
        <v/>
      </c>
      <c r="AD17">
        <f>IF(N('Kosten | Costs'!$D$21)=0,0,IF(OR(AND(DATE(YEAR(AD$3),MONTH(AD$3),$AA17)&gt;=AD$3,DATE(YEAR(AD$3),MONTH(AD$3),$AA17)&lt;=AD$4),AND(DATE(YEAR(AD$4),MONTH(AD$4),$AA17)&gt;=AD$3,DATE(YEAR(AD$4),MONTH(AD$4),$AA17)&lt;=AD$4)),'Kosten | Costs'!$D$21,0))</f>
        <v/>
      </c>
      <c r="AE17">
        <f>IF(N('Kosten | Costs'!$D$21)=0,0,IF(OR(AND(DATE(YEAR(AE$3),MONTH(AE$3),$AA17)&gt;=AE$3,DATE(YEAR(AE$3),MONTH(AE$3),$AA17)&lt;=AE$4),AND(DATE(YEAR(AE$4),MONTH(AE$4),$AA17)&gt;=AE$3,DATE(YEAR(AE$4),MONTH(AE$4),$AA17)&lt;=AE$4)),'Kosten | Costs'!$D$21,0))</f>
        <v/>
      </c>
      <c r="AF17">
        <f>IF(N('Kosten | Costs'!$D$21)=0,0,IF(OR(AND(DATE(YEAR(AF$3),MONTH(AF$3),$AA17)&gt;=AF$3,DATE(YEAR(AF$3),MONTH(AF$3),$AA17)&lt;=AF$4),AND(DATE(YEAR(AF$4),MONTH(AF$4),$AA17)&gt;=AF$3,DATE(YEAR(AF$4),MONTH(AF$4),$AA17)&lt;=AF$4)),'Kosten | Costs'!$D$21,0))</f>
        <v/>
      </c>
      <c r="AG17">
        <f>IF(N('Kosten | Costs'!$D$21)=0,0,IF(OR(AND(DATE(YEAR(AG$3),MONTH(AG$3),$AA17)&gt;=AG$3,DATE(YEAR(AG$3),MONTH(AG$3),$AA17)&lt;=AG$4),AND(DATE(YEAR(AG$4),MONTH(AG$4),$AA17)&gt;=AG$3,DATE(YEAR(AG$4),MONTH(AG$4),$AA17)&lt;=AG$4)),'Kosten | Costs'!$D$21,0))</f>
        <v/>
      </c>
      <c r="AH17">
        <f>IF(N('Kosten | Costs'!$D$21)=0,0,IF(OR(AND(DATE(YEAR(AH$3),MONTH(AH$3),$AA17)&gt;=AH$3,DATE(YEAR(AH$3),MONTH(AH$3),$AA17)&lt;=AH$4),AND(DATE(YEAR(AH$4),MONTH(AH$4),$AA17)&gt;=AH$3,DATE(YEAR(AH$4),MONTH(AH$4),$AA17)&lt;=AH$4)),'Kosten | Costs'!$D$21,0))</f>
        <v/>
      </c>
      <c r="AI17">
        <f>IF(N('Kosten | Costs'!$D$21)=0,0,IF(OR(AND(DATE(YEAR(AI$3),MONTH(AI$3),$AA17)&gt;=AI$3,DATE(YEAR(AI$3),MONTH(AI$3),$AA17)&lt;=AI$4),AND(DATE(YEAR(AI$4),MONTH(AI$4),$AA17)&gt;=AI$3,DATE(YEAR(AI$4),MONTH(AI$4),$AA17)&lt;=AI$4)),'Kosten | Costs'!$D$21,0))</f>
        <v/>
      </c>
      <c r="AJ17">
        <f>IF(N('Kosten | Costs'!$D$21)=0,0,IF(OR(AND(DATE(YEAR(AJ$3),MONTH(AJ$3),$AA17)&gt;=AJ$3,DATE(YEAR(AJ$3),MONTH(AJ$3),$AA17)&lt;=AJ$4),AND(DATE(YEAR(AJ$4),MONTH(AJ$4),$AA17)&gt;=AJ$3,DATE(YEAR(AJ$4),MONTH(AJ$4),$AA17)&lt;=AJ$4)),'Kosten | Costs'!$D$21,0))</f>
        <v/>
      </c>
      <c r="AK17">
        <f>IF(N('Kosten | Costs'!$D$21)=0,0,IF(OR(AND(DATE(YEAR(AK$3),MONTH(AK$3),$AA17)&gt;=AK$3,DATE(YEAR(AK$3),MONTH(AK$3),$AA17)&lt;=AK$4),AND(DATE(YEAR(AK$4),MONTH(AK$4),$AA17)&gt;=AK$3,DATE(YEAR(AK$4),MONTH(AK$4),$AA17)&lt;=AK$4)),'Kosten | Costs'!$D$21,0))</f>
        <v/>
      </c>
      <c r="AL17">
        <f>IF(N('Kosten | Costs'!$D$21)=0,0,IF(OR(AND(DATE(YEAR(AL$3),MONTH(AL$3),$AA17)&gt;=AL$3,DATE(YEAR(AL$3),MONTH(AL$3),$AA17)&lt;=AL$4),AND(DATE(YEAR(AL$4),MONTH(AL$4),$AA17)&gt;=AL$3,DATE(YEAR(AL$4),MONTH(AL$4),$AA17)&lt;=AL$4)),'Kosten | Costs'!$D$21,0))</f>
        <v/>
      </c>
      <c r="AM17">
        <f>IF(N('Kosten | Costs'!$D$21)=0,0,IF(OR(AND(DATE(YEAR(AM$3),MONTH(AM$3),$AA17)&gt;=AM$3,DATE(YEAR(AM$3),MONTH(AM$3),$AA17)&lt;=AM$4),AND(DATE(YEAR(AM$4),MONTH(AM$4),$AA17)&gt;=AM$3,DATE(YEAR(AM$4),MONTH(AM$4),$AA17)&lt;=AM$4)),'Kosten | Costs'!$D$21,0))</f>
        <v/>
      </c>
    </row>
    <row r="18">
      <c r="A18" s="107" t="inlineStr">
        <is>
          <t>status.amber</t>
        </is>
      </c>
      <c r="B18" s="113" t="inlineStr">
        <is>
          <t>Es wird eng</t>
        </is>
      </c>
      <c r="C18" s="113" t="inlineStr">
        <is>
          <t>Getting tight</t>
        </is>
      </c>
      <c r="J18" s="113">
        <f>IFERROR(INDEX('Rechnungen | Invoices'!$C$9:$C$108,MATCH(0,INDEX(COUNTIF($J$4:J17,'Rechnungen | Invoices'!$C$9:$C$108)+('Rechnungen | Invoices'!$C$9:$C$108=""),0),0)),"")</f>
        <v/>
      </c>
      <c r="AA18">
        <f>IF('Kosten | Costs'!$E$22="",1,MIN(28,MAX(1,'Kosten | Costs'!$E$22)))</f>
        <v/>
      </c>
      <c r="AB18">
        <f>IF(N('Kosten | Costs'!$D$22)=0,0,IF(OR(AND(DATE(YEAR(AB$3),MONTH(AB$3),$AA18)&gt;=AB$3,DATE(YEAR(AB$3),MONTH(AB$3),$AA18)&lt;=AB$4),AND(DATE(YEAR(AB$4),MONTH(AB$4),$AA18)&gt;=AB$3,DATE(YEAR(AB$4),MONTH(AB$4),$AA18)&lt;=AB$4)),'Kosten | Costs'!$D$22,0))</f>
        <v/>
      </c>
      <c r="AC18">
        <f>IF(N('Kosten | Costs'!$D$22)=0,0,IF(OR(AND(DATE(YEAR(AC$3),MONTH(AC$3),$AA18)&gt;=AC$3,DATE(YEAR(AC$3),MONTH(AC$3),$AA18)&lt;=AC$4),AND(DATE(YEAR(AC$4),MONTH(AC$4),$AA18)&gt;=AC$3,DATE(YEAR(AC$4),MONTH(AC$4),$AA18)&lt;=AC$4)),'Kosten | Costs'!$D$22,0))</f>
        <v/>
      </c>
      <c r="AD18">
        <f>IF(N('Kosten | Costs'!$D$22)=0,0,IF(OR(AND(DATE(YEAR(AD$3),MONTH(AD$3),$AA18)&gt;=AD$3,DATE(YEAR(AD$3),MONTH(AD$3),$AA18)&lt;=AD$4),AND(DATE(YEAR(AD$4),MONTH(AD$4),$AA18)&gt;=AD$3,DATE(YEAR(AD$4),MONTH(AD$4),$AA18)&lt;=AD$4)),'Kosten | Costs'!$D$22,0))</f>
        <v/>
      </c>
      <c r="AE18">
        <f>IF(N('Kosten | Costs'!$D$22)=0,0,IF(OR(AND(DATE(YEAR(AE$3),MONTH(AE$3),$AA18)&gt;=AE$3,DATE(YEAR(AE$3),MONTH(AE$3),$AA18)&lt;=AE$4),AND(DATE(YEAR(AE$4),MONTH(AE$4),$AA18)&gt;=AE$3,DATE(YEAR(AE$4),MONTH(AE$4),$AA18)&lt;=AE$4)),'Kosten | Costs'!$D$22,0))</f>
        <v/>
      </c>
      <c r="AF18">
        <f>IF(N('Kosten | Costs'!$D$22)=0,0,IF(OR(AND(DATE(YEAR(AF$3),MONTH(AF$3),$AA18)&gt;=AF$3,DATE(YEAR(AF$3),MONTH(AF$3),$AA18)&lt;=AF$4),AND(DATE(YEAR(AF$4),MONTH(AF$4),$AA18)&gt;=AF$3,DATE(YEAR(AF$4),MONTH(AF$4),$AA18)&lt;=AF$4)),'Kosten | Costs'!$D$22,0))</f>
        <v/>
      </c>
      <c r="AG18">
        <f>IF(N('Kosten | Costs'!$D$22)=0,0,IF(OR(AND(DATE(YEAR(AG$3),MONTH(AG$3),$AA18)&gt;=AG$3,DATE(YEAR(AG$3),MONTH(AG$3),$AA18)&lt;=AG$4),AND(DATE(YEAR(AG$4),MONTH(AG$4),$AA18)&gt;=AG$3,DATE(YEAR(AG$4),MONTH(AG$4),$AA18)&lt;=AG$4)),'Kosten | Costs'!$D$22,0))</f>
        <v/>
      </c>
      <c r="AH18">
        <f>IF(N('Kosten | Costs'!$D$22)=0,0,IF(OR(AND(DATE(YEAR(AH$3),MONTH(AH$3),$AA18)&gt;=AH$3,DATE(YEAR(AH$3),MONTH(AH$3),$AA18)&lt;=AH$4),AND(DATE(YEAR(AH$4),MONTH(AH$4),$AA18)&gt;=AH$3,DATE(YEAR(AH$4),MONTH(AH$4),$AA18)&lt;=AH$4)),'Kosten | Costs'!$D$22,0))</f>
        <v/>
      </c>
      <c r="AI18">
        <f>IF(N('Kosten | Costs'!$D$22)=0,0,IF(OR(AND(DATE(YEAR(AI$3),MONTH(AI$3),$AA18)&gt;=AI$3,DATE(YEAR(AI$3),MONTH(AI$3),$AA18)&lt;=AI$4),AND(DATE(YEAR(AI$4),MONTH(AI$4),$AA18)&gt;=AI$3,DATE(YEAR(AI$4),MONTH(AI$4),$AA18)&lt;=AI$4)),'Kosten | Costs'!$D$22,0))</f>
        <v/>
      </c>
      <c r="AJ18">
        <f>IF(N('Kosten | Costs'!$D$22)=0,0,IF(OR(AND(DATE(YEAR(AJ$3),MONTH(AJ$3),$AA18)&gt;=AJ$3,DATE(YEAR(AJ$3),MONTH(AJ$3),$AA18)&lt;=AJ$4),AND(DATE(YEAR(AJ$4),MONTH(AJ$4),$AA18)&gt;=AJ$3,DATE(YEAR(AJ$4),MONTH(AJ$4),$AA18)&lt;=AJ$4)),'Kosten | Costs'!$D$22,0))</f>
        <v/>
      </c>
      <c r="AK18">
        <f>IF(N('Kosten | Costs'!$D$22)=0,0,IF(OR(AND(DATE(YEAR(AK$3),MONTH(AK$3),$AA18)&gt;=AK$3,DATE(YEAR(AK$3),MONTH(AK$3),$AA18)&lt;=AK$4),AND(DATE(YEAR(AK$4),MONTH(AK$4),$AA18)&gt;=AK$3,DATE(YEAR(AK$4),MONTH(AK$4),$AA18)&lt;=AK$4)),'Kosten | Costs'!$D$22,0))</f>
        <v/>
      </c>
      <c r="AL18">
        <f>IF(N('Kosten | Costs'!$D$22)=0,0,IF(OR(AND(DATE(YEAR(AL$3),MONTH(AL$3),$AA18)&gt;=AL$3,DATE(YEAR(AL$3),MONTH(AL$3),$AA18)&lt;=AL$4),AND(DATE(YEAR(AL$4),MONTH(AL$4),$AA18)&gt;=AL$3,DATE(YEAR(AL$4),MONTH(AL$4),$AA18)&lt;=AL$4)),'Kosten | Costs'!$D$22,0))</f>
        <v/>
      </c>
      <c r="AM18">
        <f>IF(N('Kosten | Costs'!$D$22)=0,0,IF(OR(AND(DATE(YEAR(AM$3),MONTH(AM$3),$AA18)&gt;=AM$3,DATE(YEAR(AM$3),MONTH(AM$3),$AA18)&lt;=AM$4),AND(DATE(YEAR(AM$4),MONTH(AM$4),$AA18)&gt;=AM$3,DATE(YEAR(AM$4),MONTH(AM$4),$AA18)&lt;=AM$4)),'Kosten | Costs'!$D$22,0))</f>
        <v/>
      </c>
    </row>
    <row r="19">
      <c r="A19" s="107" t="inlineStr">
        <is>
          <t>status.red</t>
        </is>
      </c>
      <c r="B19" s="113" t="inlineStr">
        <is>
          <t>Liquiditätsengpass</t>
        </is>
      </c>
      <c r="C19" s="113" t="inlineStr">
        <is>
          <t>Cash shortfall</t>
        </is>
      </c>
      <c r="J19" s="113">
        <f>IFERROR(INDEX('Rechnungen | Invoices'!$C$9:$C$108,MATCH(0,INDEX(COUNTIF($J$4:J18,'Rechnungen | Invoices'!$C$9:$C$108)+('Rechnungen | Invoices'!$C$9:$C$108=""),0),0)),"")</f>
        <v/>
      </c>
      <c r="AA19">
        <f>IF('Kosten | Costs'!$E$23="",1,MIN(28,MAX(1,'Kosten | Costs'!$E$23)))</f>
        <v/>
      </c>
      <c r="AB19">
        <f>IF(N('Kosten | Costs'!$D$23)=0,0,IF(OR(AND(DATE(YEAR(AB$3),MONTH(AB$3),$AA19)&gt;=AB$3,DATE(YEAR(AB$3),MONTH(AB$3),$AA19)&lt;=AB$4),AND(DATE(YEAR(AB$4),MONTH(AB$4),$AA19)&gt;=AB$3,DATE(YEAR(AB$4),MONTH(AB$4),$AA19)&lt;=AB$4)),'Kosten | Costs'!$D$23,0))</f>
        <v/>
      </c>
      <c r="AC19">
        <f>IF(N('Kosten | Costs'!$D$23)=0,0,IF(OR(AND(DATE(YEAR(AC$3),MONTH(AC$3),$AA19)&gt;=AC$3,DATE(YEAR(AC$3),MONTH(AC$3),$AA19)&lt;=AC$4),AND(DATE(YEAR(AC$4),MONTH(AC$4),$AA19)&gt;=AC$3,DATE(YEAR(AC$4),MONTH(AC$4),$AA19)&lt;=AC$4)),'Kosten | Costs'!$D$23,0))</f>
        <v/>
      </c>
      <c r="AD19">
        <f>IF(N('Kosten | Costs'!$D$23)=0,0,IF(OR(AND(DATE(YEAR(AD$3),MONTH(AD$3),$AA19)&gt;=AD$3,DATE(YEAR(AD$3),MONTH(AD$3),$AA19)&lt;=AD$4),AND(DATE(YEAR(AD$4),MONTH(AD$4),$AA19)&gt;=AD$3,DATE(YEAR(AD$4),MONTH(AD$4),$AA19)&lt;=AD$4)),'Kosten | Costs'!$D$23,0))</f>
        <v/>
      </c>
      <c r="AE19">
        <f>IF(N('Kosten | Costs'!$D$23)=0,0,IF(OR(AND(DATE(YEAR(AE$3),MONTH(AE$3),$AA19)&gt;=AE$3,DATE(YEAR(AE$3),MONTH(AE$3),$AA19)&lt;=AE$4),AND(DATE(YEAR(AE$4),MONTH(AE$4),$AA19)&gt;=AE$3,DATE(YEAR(AE$4),MONTH(AE$4),$AA19)&lt;=AE$4)),'Kosten | Costs'!$D$23,0))</f>
        <v/>
      </c>
      <c r="AF19">
        <f>IF(N('Kosten | Costs'!$D$23)=0,0,IF(OR(AND(DATE(YEAR(AF$3),MONTH(AF$3),$AA19)&gt;=AF$3,DATE(YEAR(AF$3),MONTH(AF$3),$AA19)&lt;=AF$4),AND(DATE(YEAR(AF$4),MONTH(AF$4),$AA19)&gt;=AF$3,DATE(YEAR(AF$4),MONTH(AF$4),$AA19)&lt;=AF$4)),'Kosten | Costs'!$D$23,0))</f>
        <v/>
      </c>
      <c r="AG19">
        <f>IF(N('Kosten | Costs'!$D$23)=0,0,IF(OR(AND(DATE(YEAR(AG$3),MONTH(AG$3),$AA19)&gt;=AG$3,DATE(YEAR(AG$3),MONTH(AG$3),$AA19)&lt;=AG$4),AND(DATE(YEAR(AG$4),MONTH(AG$4),$AA19)&gt;=AG$3,DATE(YEAR(AG$4),MONTH(AG$4),$AA19)&lt;=AG$4)),'Kosten | Costs'!$D$23,0))</f>
        <v/>
      </c>
      <c r="AH19">
        <f>IF(N('Kosten | Costs'!$D$23)=0,0,IF(OR(AND(DATE(YEAR(AH$3),MONTH(AH$3),$AA19)&gt;=AH$3,DATE(YEAR(AH$3),MONTH(AH$3),$AA19)&lt;=AH$4),AND(DATE(YEAR(AH$4),MONTH(AH$4),$AA19)&gt;=AH$3,DATE(YEAR(AH$4),MONTH(AH$4),$AA19)&lt;=AH$4)),'Kosten | Costs'!$D$23,0))</f>
        <v/>
      </c>
      <c r="AI19">
        <f>IF(N('Kosten | Costs'!$D$23)=0,0,IF(OR(AND(DATE(YEAR(AI$3),MONTH(AI$3),$AA19)&gt;=AI$3,DATE(YEAR(AI$3),MONTH(AI$3),$AA19)&lt;=AI$4),AND(DATE(YEAR(AI$4),MONTH(AI$4),$AA19)&gt;=AI$3,DATE(YEAR(AI$4),MONTH(AI$4),$AA19)&lt;=AI$4)),'Kosten | Costs'!$D$23,0))</f>
        <v/>
      </c>
      <c r="AJ19">
        <f>IF(N('Kosten | Costs'!$D$23)=0,0,IF(OR(AND(DATE(YEAR(AJ$3),MONTH(AJ$3),$AA19)&gt;=AJ$3,DATE(YEAR(AJ$3),MONTH(AJ$3),$AA19)&lt;=AJ$4),AND(DATE(YEAR(AJ$4),MONTH(AJ$4),$AA19)&gt;=AJ$3,DATE(YEAR(AJ$4),MONTH(AJ$4),$AA19)&lt;=AJ$4)),'Kosten | Costs'!$D$23,0))</f>
        <v/>
      </c>
      <c r="AK19">
        <f>IF(N('Kosten | Costs'!$D$23)=0,0,IF(OR(AND(DATE(YEAR(AK$3),MONTH(AK$3),$AA19)&gt;=AK$3,DATE(YEAR(AK$3),MONTH(AK$3),$AA19)&lt;=AK$4),AND(DATE(YEAR(AK$4),MONTH(AK$4),$AA19)&gt;=AK$3,DATE(YEAR(AK$4),MONTH(AK$4),$AA19)&lt;=AK$4)),'Kosten | Costs'!$D$23,0))</f>
        <v/>
      </c>
      <c r="AL19">
        <f>IF(N('Kosten | Costs'!$D$23)=0,0,IF(OR(AND(DATE(YEAR(AL$3),MONTH(AL$3),$AA19)&gt;=AL$3,DATE(YEAR(AL$3),MONTH(AL$3),$AA19)&lt;=AL$4),AND(DATE(YEAR(AL$4),MONTH(AL$4),$AA19)&gt;=AL$3,DATE(YEAR(AL$4),MONTH(AL$4),$AA19)&lt;=AL$4)),'Kosten | Costs'!$D$23,0))</f>
        <v/>
      </c>
      <c r="AM19">
        <f>IF(N('Kosten | Costs'!$D$23)=0,0,IF(OR(AND(DATE(YEAR(AM$3),MONTH(AM$3),$AA19)&gt;=AM$3,DATE(YEAR(AM$3),MONTH(AM$3),$AA19)&lt;=AM$4),AND(DATE(YEAR(AM$4),MONTH(AM$4),$AA19)&gt;=AM$3,DATE(YEAR(AM$4),MONTH(AM$4),$AA19)&lt;=AM$4)),'Kosten | Costs'!$D$23,0))</f>
        <v/>
      </c>
    </row>
    <row r="20">
      <c r="A20" s="107" t="inlineStr">
        <is>
          <t>alert.green</t>
        </is>
      </c>
      <c r="B20" s="113" t="inlineStr">
        <is>
          <t>In den nächsten 12 Wochen bleibt Ihr Kontostand durchgehend über der Mindestreserve.</t>
        </is>
      </c>
      <c r="C20" s="113" t="inlineStr">
        <is>
          <t>Your cash balance stays above the minimum reserve for the entire 12-week horizon.</t>
        </is>
      </c>
      <c r="J20" s="113">
        <f>IFERROR(INDEX('Rechnungen | Invoices'!$C$9:$C$108,MATCH(0,INDEX(COUNTIF($J$4:J19,'Rechnungen | Invoices'!$C$9:$C$108)+('Rechnungen | Invoices'!$C$9:$C$108=""),0),0)),"")</f>
        <v/>
      </c>
      <c r="AA20">
        <f>IF('Kosten | Costs'!$E$24="",1,MIN(28,MAX(1,'Kosten | Costs'!$E$24)))</f>
        <v/>
      </c>
      <c r="AB20">
        <f>IF(N('Kosten | Costs'!$D$24)=0,0,IF(OR(AND(DATE(YEAR(AB$3),MONTH(AB$3),$AA20)&gt;=AB$3,DATE(YEAR(AB$3),MONTH(AB$3),$AA20)&lt;=AB$4),AND(DATE(YEAR(AB$4),MONTH(AB$4),$AA20)&gt;=AB$3,DATE(YEAR(AB$4),MONTH(AB$4),$AA20)&lt;=AB$4)),'Kosten | Costs'!$D$24,0))</f>
        <v/>
      </c>
      <c r="AC20">
        <f>IF(N('Kosten | Costs'!$D$24)=0,0,IF(OR(AND(DATE(YEAR(AC$3),MONTH(AC$3),$AA20)&gt;=AC$3,DATE(YEAR(AC$3),MONTH(AC$3),$AA20)&lt;=AC$4),AND(DATE(YEAR(AC$4),MONTH(AC$4),$AA20)&gt;=AC$3,DATE(YEAR(AC$4),MONTH(AC$4),$AA20)&lt;=AC$4)),'Kosten | Costs'!$D$24,0))</f>
        <v/>
      </c>
      <c r="AD20">
        <f>IF(N('Kosten | Costs'!$D$24)=0,0,IF(OR(AND(DATE(YEAR(AD$3),MONTH(AD$3),$AA20)&gt;=AD$3,DATE(YEAR(AD$3),MONTH(AD$3),$AA20)&lt;=AD$4),AND(DATE(YEAR(AD$4),MONTH(AD$4),$AA20)&gt;=AD$3,DATE(YEAR(AD$4),MONTH(AD$4),$AA20)&lt;=AD$4)),'Kosten | Costs'!$D$24,0))</f>
        <v/>
      </c>
      <c r="AE20">
        <f>IF(N('Kosten | Costs'!$D$24)=0,0,IF(OR(AND(DATE(YEAR(AE$3),MONTH(AE$3),$AA20)&gt;=AE$3,DATE(YEAR(AE$3),MONTH(AE$3),$AA20)&lt;=AE$4),AND(DATE(YEAR(AE$4),MONTH(AE$4),$AA20)&gt;=AE$3,DATE(YEAR(AE$4),MONTH(AE$4),$AA20)&lt;=AE$4)),'Kosten | Costs'!$D$24,0))</f>
        <v/>
      </c>
      <c r="AF20">
        <f>IF(N('Kosten | Costs'!$D$24)=0,0,IF(OR(AND(DATE(YEAR(AF$3),MONTH(AF$3),$AA20)&gt;=AF$3,DATE(YEAR(AF$3),MONTH(AF$3),$AA20)&lt;=AF$4),AND(DATE(YEAR(AF$4),MONTH(AF$4),$AA20)&gt;=AF$3,DATE(YEAR(AF$4),MONTH(AF$4),$AA20)&lt;=AF$4)),'Kosten | Costs'!$D$24,0))</f>
        <v/>
      </c>
      <c r="AG20">
        <f>IF(N('Kosten | Costs'!$D$24)=0,0,IF(OR(AND(DATE(YEAR(AG$3),MONTH(AG$3),$AA20)&gt;=AG$3,DATE(YEAR(AG$3),MONTH(AG$3),$AA20)&lt;=AG$4),AND(DATE(YEAR(AG$4),MONTH(AG$4),$AA20)&gt;=AG$3,DATE(YEAR(AG$4),MONTH(AG$4),$AA20)&lt;=AG$4)),'Kosten | Costs'!$D$24,0))</f>
        <v/>
      </c>
      <c r="AH20">
        <f>IF(N('Kosten | Costs'!$D$24)=0,0,IF(OR(AND(DATE(YEAR(AH$3),MONTH(AH$3),$AA20)&gt;=AH$3,DATE(YEAR(AH$3),MONTH(AH$3),$AA20)&lt;=AH$4),AND(DATE(YEAR(AH$4),MONTH(AH$4),$AA20)&gt;=AH$3,DATE(YEAR(AH$4),MONTH(AH$4),$AA20)&lt;=AH$4)),'Kosten | Costs'!$D$24,0))</f>
        <v/>
      </c>
      <c r="AI20">
        <f>IF(N('Kosten | Costs'!$D$24)=0,0,IF(OR(AND(DATE(YEAR(AI$3),MONTH(AI$3),$AA20)&gt;=AI$3,DATE(YEAR(AI$3),MONTH(AI$3),$AA20)&lt;=AI$4),AND(DATE(YEAR(AI$4),MONTH(AI$4),$AA20)&gt;=AI$3,DATE(YEAR(AI$4),MONTH(AI$4),$AA20)&lt;=AI$4)),'Kosten | Costs'!$D$24,0))</f>
        <v/>
      </c>
      <c r="AJ20">
        <f>IF(N('Kosten | Costs'!$D$24)=0,0,IF(OR(AND(DATE(YEAR(AJ$3),MONTH(AJ$3),$AA20)&gt;=AJ$3,DATE(YEAR(AJ$3),MONTH(AJ$3),$AA20)&lt;=AJ$4),AND(DATE(YEAR(AJ$4),MONTH(AJ$4),$AA20)&gt;=AJ$3,DATE(YEAR(AJ$4),MONTH(AJ$4),$AA20)&lt;=AJ$4)),'Kosten | Costs'!$D$24,0))</f>
        <v/>
      </c>
      <c r="AK20">
        <f>IF(N('Kosten | Costs'!$D$24)=0,0,IF(OR(AND(DATE(YEAR(AK$3),MONTH(AK$3),$AA20)&gt;=AK$3,DATE(YEAR(AK$3),MONTH(AK$3),$AA20)&lt;=AK$4),AND(DATE(YEAR(AK$4),MONTH(AK$4),$AA20)&gt;=AK$3,DATE(YEAR(AK$4),MONTH(AK$4),$AA20)&lt;=AK$4)),'Kosten | Costs'!$D$24,0))</f>
        <v/>
      </c>
      <c r="AL20">
        <f>IF(N('Kosten | Costs'!$D$24)=0,0,IF(OR(AND(DATE(YEAR(AL$3),MONTH(AL$3),$AA20)&gt;=AL$3,DATE(YEAR(AL$3),MONTH(AL$3),$AA20)&lt;=AL$4),AND(DATE(YEAR(AL$4),MONTH(AL$4),$AA20)&gt;=AL$3,DATE(YEAR(AL$4),MONTH(AL$4),$AA20)&lt;=AL$4)),'Kosten | Costs'!$D$24,0))</f>
        <v/>
      </c>
      <c r="AM20">
        <f>IF(N('Kosten | Costs'!$D$24)=0,0,IF(OR(AND(DATE(YEAR(AM$3),MONTH(AM$3),$AA20)&gt;=AM$3,DATE(YEAR(AM$3),MONTH(AM$3),$AA20)&lt;=AM$4),AND(DATE(YEAR(AM$4),MONTH(AM$4),$AA20)&gt;=AM$3,DATE(YEAR(AM$4),MONTH(AM$4),$AA20)&lt;=AM$4)),'Kosten | Costs'!$D$24,0))</f>
        <v/>
      </c>
    </row>
    <row r="21">
      <c r="A21" s="107" t="inlineStr">
        <is>
          <t>alert.amber</t>
        </is>
      </c>
      <c r="B21" s="113" t="inlineStr">
        <is>
          <t>Achtung: Ihr Kontostand nähert sich der Mindestreserve ab</t>
        </is>
      </c>
      <c r="C21" s="113" t="inlineStr">
        <is>
          <t>Caution: your cash balance approaches the minimum reserve from</t>
        </is>
      </c>
      <c r="J21" s="113">
        <f>IFERROR(INDEX('Rechnungen | Invoices'!$C$9:$C$108,MATCH(0,INDEX(COUNTIF($J$4:J20,'Rechnungen | Invoices'!$C$9:$C$108)+('Rechnungen | Invoices'!$C$9:$C$108=""),0),0)),"")</f>
        <v/>
      </c>
      <c r="AA21">
        <f>IF('Kosten | Costs'!$E$25="",1,MIN(28,MAX(1,'Kosten | Costs'!$E$25)))</f>
        <v/>
      </c>
      <c r="AB21">
        <f>IF(N('Kosten | Costs'!$D$25)=0,0,IF(OR(AND(DATE(YEAR(AB$3),MONTH(AB$3),$AA21)&gt;=AB$3,DATE(YEAR(AB$3),MONTH(AB$3),$AA21)&lt;=AB$4),AND(DATE(YEAR(AB$4),MONTH(AB$4),$AA21)&gt;=AB$3,DATE(YEAR(AB$4),MONTH(AB$4),$AA21)&lt;=AB$4)),'Kosten | Costs'!$D$25,0))</f>
        <v/>
      </c>
      <c r="AC21">
        <f>IF(N('Kosten | Costs'!$D$25)=0,0,IF(OR(AND(DATE(YEAR(AC$3),MONTH(AC$3),$AA21)&gt;=AC$3,DATE(YEAR(AC$3),MONTH(AC$3),$AA21)&lt;=AC$4),AND(DATE(YEAR(AC$4),MONTH(AC$4),$AA21)&gt;=AC$3,DATE(YEAR(AC$4),MONTH(AC$4),$AA21)&lt;=AC$4)),'Kosten | Costs'!$D$25,0))</f>
        <v/>
      </c>
      <c r="AD21">
        <f>IF(N('Kosten | Costs'!$D$25)=0,0,IF(OR(AND(DATE(YEAR(AD$3),MONTH(AD$3),$AA21)&gt;=AD$3,DATE(YEAR(AD$3),MONTH(AD$3),$AA21)&lt;=AD$4),AND(DATE(YEAR(AD$4),MONTH(AD$4),$AA21)&gt;=AD$3,DATE(YEAR(AD$4),MONTH(AD$4),$AA21)&lt;=AD$4)),'Kosten | Costs'!$D$25,0))</f>
        <v/>
      </c>
      <c r="AE21">
        <f>IF(N('Kosten | Costs'!$D$25)=0,0,IF(OR(AND(DATE(YEAR(AE$3),MONTH(AE$3),$AA21)&gt;=AE$3,DATE(YEAR(AE$3),MONTH(AE$3),$AA21)&lt;=AE$4),AND(DATE(YEAR(AE$4),MONTH(AE$4),$AA21)&gt;=AE$3,DATE(YEAR(AE$4),MONTH(AE$4),$AA21)&lt;=AE$4)),'Kosten | Costs'!$D$25,0))</f>
        <v/>
      </c>
      <c r="AF21">
        <f>IF(N('Kosten | Costs'!$D$25)=0,0,IF(OR(AND(DATE(YEAR(AF$3),MONTH(AF$3),$AA21)&gt;=AF$3,DATE(YEAR(AF$3),MONTH(AF$3),$AA21)&lt;=AF$4),AND(DATE(YEAR(AF$4),MONTH(AF$4),$AA21)&gt;=AF$3,DATE(YEAR(AF$4),MONTH(AF$4),$AA21)&lt;=AF$4)),'Kosten | Costs'!$D$25,0))</f>
        <v/>
      </c>
      <c r="AG21">
        <f>IF(N('Kosten | Costs'!$D$25)=0,0,IF(OR(AND(DATE(YEAR(AG$3),MONTH(AG$3),$AA21)&gt;=AG$3,DATE(YEAR(AG$3),MONTH(AG$3),$AA21)&lt;=AG$4),AND(DATE(YEAR(AG$4),MONTH(AG$4),$AA21)&gt;=AG$3,DATE(YEAR(AG$4),MONTH(AG$4),$AA21)&lt;=AG$4)),'Kosten | Costs'!$D$25,0))</f>
        <v/>
      </c>
      <c r="AH21">
        <f>IF(N('Kosten | Costs'!$D$25)=0,0,IF(OR(AND(DATE(YEAR(AH$3),MONTH(AH$3),$AA21)&gt;=AH$3,DATE(YEAR(AH$3),MONTH(AH$3),$AA21)&lt;=AH$4),AND(DATE(YEAR(AH$4),MONTH(AH$4),$AA21)&gt;=AH$3,DATE(YEAR(AH$4),MONTH(AH$4),$AA21)&lt;=AH$4)),'Kosten | Costs'!$D$25,0))</f>
        <v/>
      </c>
      <c r="AI21">
        <f>IF(N('Kosten | Costs'!$D$25)=0,0,IF(OR(AND(DATE(YEAR(AI$3),MONTH(AI$3),$AA21)&gt;=AI$3,DATE(YEAR(AI$3),MONTH(AI$3),$AA21)&lt;=AI$4),AND(DATE(YEAR(AI$4),MONTH(AI$4),$AA21)&gt;=AI$3,DATE(YEAR(AI$4),MONTH(AI$4),$AA21)&lt;=AI$4)),'Kosten | Costs'!$D$25,0))</f>
        <v/>
      </c>
      <c r="AJ21">
        <f>IF(N('Kosten | Costs'!$D$25)=0,0,IF(OR(AND(DATE(YEAR(AJ$3),MONTH(AJ$3),$AA21)&gt;=AJ$3,DATE(YEAR(AJ$3),MONTH(AJ$3),$AA21)&lt;=AJ$4),AND(DATE(YEAR(AJ$4),MONTH(AJ$4),$AA21)&gt;=AJ$3,DATE(YEAR(AJ$4),MONTH(AJ$4),$AA21)&lt;=AJ$4)),'Kosten | Costs'!$D$25,0))</f>
        <v/>
      </c>
      <c r="AK21">
        <f>IF(N('Kosten | Costs'!$D$25)=0,0,IF(OR(AND(DATE(YEAR(AK$3),MONTH(AK$3),$AA21)&gt;=AK$3,DATE(YEAR(AK$3),MONTH(AK$3),$AA21)&lt;=AK$4),AND(DATE(YEAR(AK$4),MONTH(AK$4),$AA21)&gt;=AK$3,DATE(YEAR(AK$4),MONTH(AK$4),$AA21)&lt;=AK$4)),'Kosten | Costs'!$D$25,0))</f>
        <v/>
      </c>
      <c r="AL21">
        <f>IF(N('Kosten | Costs'!$D$25)=0,0,IF(OR(AND(DATE(YEAR(AL$3),MONTH(AL$3),$AA21)&gt;=AL$3,DATE(YEAR(AL$3),MONTH(AL$3),$AA21)&lt;=AL$4),AND(DATE(YEAR(AL$4),MONTH(AL$4),$AA21)&gt;=AL$3,DATE(YEAR(AL$4),MONTH(AL$4),$AA21)&lt;=AL$4)),'Kosten | Costs'!$D$25,0))</f>
        <v/>
      </c>
      <c r="AM21">
        <f>IF(N('Kosten | Costs'!$D$25)=0,0,IF(OR(AND(DATE(YEAR(AM$3),MONTH(AM$3),$AA21)&gt;=AM$3,DATE(YEAR(AM$3),MONTH(AM$3),$AA21)&lt;=AM$4),AND(DATE(YEAR(AM$4),MONTH(AM$4),$AA21)&gt;=AM$3,DATE(YEAR(AM$4),MONTH(AM$4),$AA21)&lt;=AM$4)),'Kosten | Costs'!$D$25,0))</f>
        <v/>
      </c>
    </row>
    <row r="22">
      <c r="A22" s="107" t="inlineStr">
        <is>
          <t>alert.red</t>
        </is>
      </c>
      <c r="B22" s="113" t="inlineStr">
        <is>
          <t>Warnung: Ihr Kontostand fällt unter die Mindestreserve ab</t>
        </is>
      </c>
      <c r="C22" s="113" t="inlineStr">
        <is>
          <t>Warning: your cash balance drops below the minimum reserve from</t>
        </is>
      </c>
      <c r="J22" s="113">
        <f>IFERROR(INDEX('Rechnungen | Invoices'!$C$9:$C$108,MATCH(0,INDEX(COUNTIF($J$4:J21,'Rechnungen | Invoices'!$C$9:$C$108)+('Rechnungen | Invoices'!$C$9:$C$108=""),0),0)),"")</f>
        <v/>
      </c>
      <c r="AA22">
        <f>IF('Kosten | Costs'!$E$26="",1,MIN(28,MAX(1,'Kosten | Costs'!$E$26)))</f>
        <v/>
      </c>
      <c r="AB22">
        <f>IF(N('Kosten | Costs'!$D$26)=0,0,IF(OR(AND(DATE(YEAR(AB$3),MONTH(AB$3),$AA22)&gt;=AB$3,DATE(YEAR(AB$3),MONTH(AB$3),$AA22)&lt;=AB$4),AND(DATE(YEAR(AB$4),MONTH(AB$4),$AA22)&gt;=AB$3,DATE(YEAR(AB$4),MONTH(AB$4),$AA22)&lt;=AB$4)),'Kosten | Costs'!$D$26,0))</f>
        <v/>
      </c>
      <c r="AC22">
        <f>IF(N('Kosten | Costs'!$D$26)=0,0,IF(OR(AND(DATE(YEAR(AC$3),MONTH(AC$3),$AA22)&gt;=AC$3,DATE(YEAR(AC$3),MONTH(AC$3),$AA22)&lt;=AC$4),AND(DATE(YEAR(AC$4),MONTH(AC$4),$AA22)&gt;=AC$3,DATE(YEAR(AC$4),MONTH(AC$4),$AA22)&lt;=AC$4)),'Kosten | Costs'!$D$26,0))</f>
        <v/>
      </c>
      <c r="AD22">
        <f>IF(N('Kosten | Costs'!$D$26)=0,0,IF(OR(AND(DATE(YEAR(AD$3),MONTH(AD$3),$AA22)&gt;=AD$3,DATE(YEAR(AD$3),MONTH(AD$3),$AA22)&lt;=AD$4),AND(DATE(YEAR(AD$4),MONTH(AD$4),$AA22)&gt;=AD$3,DATE(YEAR(AD$4),MONTH(AD$4),$AA22)&lt;=AD$4)),'Kosten | Costs'!$D$26,0))</f>
        <v/>
      </c>
      <c r="AE22">
        <f>IF(N('Kosten | Costs'!$D$26)=0,0,IF(OR(AND(DATE(YEAR(AE$3),MONTH(AE$3),$AA22)&gt;=AE$3,DATE(YEAR(AE$3),MONTH(AE$3),$AA22)&lt;=AE$4),AND(DATE(YEAR(AE$4),MONTH(AE$4),$AA22)&gt;=AE$3,DATE(YEAR(AE$4),MONTH(AE$4),$AA22)&lt;=AE$4)),'Kosten | Costs'!$D$26,0))</f>
        <v/>
      </c>
      <c r="AF22">
        <f>IF(N('Kosten | Costs'!$D$26)=0,0,IF(OR(AND(DATE(YEAR(AF$3),MONTH(AF$3),$AA22)&gt;=AF$3,DATE(YEAR(AF$3),MONTH(AF$3),$AA22)&lt;=AF$4),AND(DATE(YEAR(AF$4),MONTH(AF$4),$AA22)&gt;=AF$3,DATE(YEAR(AF$4),MONTH(AF$4),$AA22)&lt;=AF$4)),'Kosten | Costs'!$D$26,0))</f>
        <v/>
      </c>
      <c r="AG22">
        <f>IF(N('Kosten | Costs'!$D$26)=0,0,IF(OR(AND(DATE(YEAR(AG$3),MONTH(AG$3),$AA22)&gt;=AG$3,DATE(YEAR(AG$3),MONTH(AG$3),$AA22)&lt;=AG$4),AND(DATE(YEAR(AG$4),MONTH(AG$4),$AA22)&gt;=AG$3,DATE(YEAR(AG$4),MONTH(AG$4),$AA22)&lt;=AG$4)),'Kosten | Costs'!$D$26,0))</f>
        <v/>
      </c>
      <c r="AH22">
        <f>IF(N('Kosten | Costs'!$D$26)=0,0,IF(OR(AND(DATE(YEAR(AH$3),MONTH(AH$3),$AA22)&gt;=AH$3,DATE(YEAR(AH$3),MONTH(AH$3),$AA22)&lt;=AH$4),AND(DATE(YEAR(AH$4),MONTH(AH$4),$AA22)&gt;=AH$3,DATE(YEAR(AH$4),MONTH(AH$4),$AA22)&lt;=AH$4)),'Kosten | Costs'!$D$26,0))</f>
        <v/>
      </c>
      <c r="AI22">
        <f>IF(N('Kosten | Costs'!$D$26)=0,0,IF(OR(AND(DATE(YEAR(AI$3),MONTH(AI$3),$AA22)&gt;=AI$3,DATE(YEAR(AI$3),MONTH(AI$3),$AA22)&lt;=AI$4),AND(DATE(YEAR(AI$4),MONTH(AI$4),$AA22)&gt;=AI$3,DATE(YEAR(AI$4),MONTH(AI$4),$AA22)&lt;=AI$4)),'Kosten | Costs'!$D$26,0))</f>
        <v/>
      </c>
      <c r="AJ22">
        <f>IF(N('Kosten | Costs'!$D$26)=0,0,IF(OR(AND(DATE(YEAR(AJ$3),MONTH(AJ$3),$AA22)&gt;=AJ$3,DATE(YEAR(AJ$3),MONTH(AJ$3),$AA22)&lt;=AJ$4),AND(DATE(YEAR(AJ$4),MONTH(AJ$4),$AA22)&gt;=AJ$3,DATE(YEAR(AJ$4),MONTH(AJ$4),$AA22)&lt;=AJ$4)),'Kosten | Costs'!$D$26,0))</f>
        <v/>
      </c>
      <c r="AK22">
        <f>IF(N('Kosten | Costs'!$D$26)=0,0,IF(OR(AND(DATE(YEAR(AK$3),MONTH(AK$3),$AA22)&gt;=AK$3,DATE(YEAR(AK$3),MONTH(AK$3),$AA22)&lt;=AK$4),AND(DATE(YEAR(AK$4),MONTH(AK$4),$AA22)&gt;=AK$3,DATE(YEAR(AK$4),MONTH(AK$4),$AA22)&lt;=AK$4)),'Kosten | Costs'!$D$26,0))</f>
        <v/>
      </c>
      <c r="AL22">
        <f>IF(N('Kosten | Costs'!$D$26)=0,0,IF(OR(AND(DATE(YEAR(AL$3),MONTH(AL$3),$AA22)&gt;=AL$3,DATE(YEAR(AL$3),MONTH(AL$3),$AA22)&lt;=AL$4),AND(DATE(YEAR(AL$4),MONTH(AL$4),$AA22)&gt;=AL$3,DATE(YEAR(AL$4),MONTH(AL$4),$AA22)&lt;=AL$4)),'Kosten | Costs'!$D$26,0))</f>
        <v/>
      </c>
      <c r="AM22">
        <f>IF(N('Kosten | Costs'!$D$26)=0,0,IF(OR(AND(DATE(YEAR(AM$3),MONTH(AM$3),$AA22)&gt;=AM$3,DATE(YEAR(AM$3),MONTH(AM$3),$AA22)&lt;=AM$4),AND(DATE(YEAR(AM$4),MONTH(AM$4),$AA22)&gt;=AM$3,DATE(YEAR(AM$4),MONTH(AM$4),$AA22)&lt;=AM$4)),'Kosten | Costs'!$D$26,0))</f>
        <v/>
      </c>
    </row>
    <row r="23">
      <c r="A23" s="107" t="inlineStr">
        <is>
          <t>sec.chart</t>
        </is>
      </c>
      <c r="B23" s="113" t="inlineStr">
        <is>
          <t>Liquiditätsverlauf – nächste 12 Wochen</t>
        </is>
      </c>
      <c r="C23" s="113" t="inlineStr">
        <is>
          <t>Cash flow – next 12 weeks</t>
        </is>
      </c>
      <c r="J23" s="113">
        <f>IFERROR(INDEX('Rechnungen | Invoices'!$C$9:$C$108,MATCH(0,INDEX(COUNTIF($J$4:J22,'Rechnungen | Invoices'!$C$9:$C$108)+('Rechnungen | Invoices'!$C$9:$C$108=""),0),0)),"")</f>
        <v/>
      </c>
      <c r="AA23">
        <f>IF('Kosten | Costs'!$E$27="",1,MIN(28,MAX(1,'Kosten | Costs'!$E$27)))</f>
        <v/>
      </c>
      <c r="AB23">
        <f>IF(N('Kosten | Costs'!$D$27)=0,0,IF(OR(AND(DATE(YEAR(AB$3),MONTH(AB$3),$AA23)&gt;=AB$3,DATE(YEAR(AB$3),MONTH(AB$3),$AA23)&lt;=AB$4),AND(DATE(YEAR(AB$4),MONTH(AB$4),$AA23)&gt;=AB$3,DATE(YEAR(AB$4),MONTH(AB$4),$AA23)&lt;=AB$4)),'Kosten | Costs'!$D$27,0))</f>
        <v/>
      </c>
      <c r="AC23">
        <f>IF(N('Kosten | Costs'!$D$27)=0,0,IF(OR(AND(DATE(YEAR(AC$3),MONTH(AC$3),$AA23)&gt;=AC$3,DATE(YEAR(AC$3),MONTH(AC$3),$AA23)&lt;=AC$4),AND(DATE(YEAR(AC$4),MONTH(AC$4),$AA23)&gt;=AC$3,DATE(YEAR(AC$4),MONTH(AC$4),$AA23)&lt;=AC$4)),'Kosten | Costs'!$D$27,0))</f>
        <v/>
      </c>
      <c r="AD23">
        <f>IF(N('Kosten | Costs'!$D$27)=0,0,IF(OR(AND(DATE(YEAR(AD$3),MONTH(AD$3),$AA23)&gt;=AD$3,DATE(YEAR(AD$3),MONTH(AD$3),$AA23)&lt;=AD$4),AND(DATE(YEAR(AD$4),MONTH(AD$4),$AA23)&gt;=AD$3,DATE(YEAR(AD$4),MONTH(AD$4),$AA23)&lt;=AD$4)),'Kosten | Costs'!$D$27,0))</f>
        <v/>
      </c>
      <c r="AE23">
        <f>IF(N('Kosten | Costs'!$D$27)=0,0,IF(OR(AND(DATE(YEAR(AE$3),MONTH(AE$3),$AA23)&gt;=AE$3,DATE(YEAR(AE$3),MONTH(AE$3),$AA23)&lt;=AE$4),AND(DATE(YEAR(AE$4),MONTH(AE$4),$AA23)&gt;=AE$3,DATE(YEAR(AE$4),MONTH(AE$4),$AA23)&lt;=AE$4)),'Kosten | Costs'!$D$27,0))</f>
        <v/>
      </c>
      <c r="AF23">
        <f>IF(N('Kosten | Costs'!$D$27)=0,0,IF(OR(AND(DATE(YEAR(AF$3),MONTH(AF$3),$AA23)&gt;=AF$3,DATE(YEAR(AF$3),MONTH(AF$3),$AA23)&lt;=AF$4),AND(DATE(YEAR(AF$4),MONTH(AF$4),$AA23)&gt;=AF$3,DATE(YEAR(AF$4),MONTH(AF$4),$AA23)&lt;=AF$4)),'Kosten | Costs'!$D$27,0))</f>
        <v/>
      </c>
      <c r="AG23">
        <f>IF(N('Kosten | Costs'!$D$27)=0,0,IF(OR(AND(DATE(YEAR(AG$3),MONTH(AG$3),$AA23)&gt;=AG$3,DATE(YEAR(AG$3),MONTH(AG$3),$AA23)&lt;=AG$4),AND(DATE(YEAR(AG$4),MONTH(AG$4),$AA23)&gt;=AG$3,DATE(YEAR(AG$4),MONTH(AG$4),$AA23)&lt;=AG$4)),'Kosten | Costs'!$D$27,0))</f>
        <v/>
      </c>
      <c r="AH23">
        <f>IF(N('Kosten | Costs'!$D$27)=0,0,IF(OR(AND(DATE(YEAR(AH$3),MONTH(AH$3),$AA23)&gt;=AH$3,DATE(YEAR(AH$3),MONTH(AH$3),$AA23)&lt;=AH$4),AND(DATE(YEAR(AH$4),MONTH(AH$4),$AA23)&gt;=AH$3,DATE(YEAR(AH$4),MONTH(AH$4),$AA23)&lt;=AH$4)),'Kosten | Costs'!$D$27,0))</f>
        <v/>
      </c>
      <c r="AI23">
        <f>IF(N('Kosten | Costs'!$D$27)=0,0,IF(OR(AND(DATE(YEAR(AI$3),MONTH(AI$3),$AA23)&gt;=AI$3,DATE(YEAR(AI$3),MONTH(AI$3),$AA23)&lt;=AI$4),AND(DATE(YEAR(AI$4),MONTH(AI$4),$AA23)&gt;=AI$3,DATE(YEAR(AI$4),MONTH(AI$4),$AA23)&lt;=AI$4)),'Kosten | Costs'!$D$27,0))</f>
        <v/>
      </c>
      <c r="AJ23">
        <f>IF(N('Kosten | Costs'!$D$27)=0,0,IF(OR(AND(DATE(YEAR(AJ$3),MONTH(AJ$3),$AA23)&gt;=AJ$3,DATE(YEAR(AJ$3),MONTH(AJ$3),$AA23)&lt;=AJ$4),AND(DATE(YEAR(AJ$4),MONTH(AJ$4),$AA23)&gt;=AJ$3,DATE(YEAR(AJ$4),MONTH(AJ$4),$AA23)&lt;=AJ$4)),'Kosten | Costs'!$D$27,0))</f>
        <v/>
      </c>
      <c r="AK23">
        <f>IF(N('Kosten | Costs'!$D$27)=0,0,IF(OR(AND(DATE(YEAR(AK$3),MONTH(AK$3),$AA23)&gt;=AK$3,DATE(YEAR(AK$3),MONTH(AK$3),$AA23)&lt;=AK$4),AND(DATE(YEAR(AK$4),MONTH(AK$4),$AA23)&gt;=AK$3,DATE(YEAR(AK$4),MONTH(AK$4),$AA23)&lt;=AK$4)),'Kosten | Costs'!$D$27,0))</f>
        <v/>
      </c>
      <c r="AL23">
        <f>IF(N('Kosten | Costs'!$D$27)=0,0,IF(OR(AND(DATE(YEAR(AL$3),MONTH(AL$3),$AA23)&gt;=AL$3,DATE(YEAR(AL$3),MONTH(AL$3),$AA23)&lt;=AL$4),AND(DATE(YEAR(AL$4),MONTH(AL$4),$AA23)&gt;=AL$3,DATE(YEAR(AL$4),MONTH(AL$4),$AA23)&lt;=AL$4)),'Kosten | Costs'!$D$27,0))</f>
        <v/>
      </c>
      <c r="AM23">
        <f>IF(N('Kosten | Costs'!$D$27)=0,0,IF(OR(AND(DATE(YEAR(AM$3),MONTH(AM$3),$AA23)&gt;=AM$3,DATE(YEAR(AM$3),MONTH(AM$3),$AA23)&lt;=AM$4),AND(DATE(YEAR(AM$4),MONTH(AM$4),$AA23)&gt;=AM$3,DATE(YEAR(AM$4),MONTH(AM$4),$AA23)&lt;=AM$4)),'Kosten | Costs'!$D$27,0))</f>
        <v/>
      </c>
    </row>
    <row r="24">
      <c r="A24" s="107" t="inlineStr">
        <is>
          <t>sec.table</t>
        </is>
      </c>
      <c r="B24" s="113" t="inlineStr">
        <is>
          <t>Wochenübersicht</t>
        </is>
      </c>
      <c r="C24" s="113" t="inlineStr">
        <is>
          <t>Weekly overview</t>
        </is>
      </c>
      <c r="J24" s="113">
        <f>IFERROR(INDEX('Rechnungen | Invoices'!$C$9:$C$108,MATCH(0,INDEX(COUNTIF($J$4:J23,'Rechnungen | Invoices'!$C$9:$C$108)+('Rechnungen | Invoices'!$C$9:$C$108=""),0),0)),"")</f>
        <v/>
      </c>
      <c r="AA24">
        <f>IF('Kosten | Costs'!$E$28="",1,MIN(28,MAX(1,'Kosten | Costs'!$E$28)))</f>
        <v/>
      </c>
      <c r="AB24">
        <f>IF(N('Kosten | Costs'!$D$28)=0,0,IF(OR(AND(DATE(YEAR(AB$3),MONTH(AB$3),$AA24)&gt;=AB$3,DATE(YEAR(AB$3),MONTH(AB$3),$AA24)&lt;=AB$4),AND(DATE(YEAR(AB$4),MONTH(AB$4),$AA24)&gt;=AB$3,DATE(YEAR(AB$4),MONTH(AB$4),$AA24)&lt;=AB$4)),'Kosten | Costs'!$D$28,0))</f>
        <v/>
      </c>
      <c r="AC24">
        <f>IF(N('Kosten | Costs'!$D$28)=0,0,IF(OR(AND(DATE(YEAR(AC$3),MONTH(AC$3),$AA24)&gt;=AC$3,DATE(YEAR(AC$3),MONTH(AC$3),$AA24)&lt;=AC$4),AND(DATE(YEAR(AC$4),MONTH(AC$4),$AA24)&gt;=AC$3,DATE(YEAR(AC$4),MONTH(AC$4),$AA24)&lt;=AC$4)),'Kosten | Costs'!$D$28,0))</f>
        <v/>
      </c>
      <c r="AD24">
        <f>IF(N('Kosten | Costs'!$D$28)=0,0,IF(OR(AND(DATE(YEAR(AD$3),MONTH(AD$3),$AA24)&gt;=AD$3,DATE(YEAR(AD$3),MONTH(AD$3),$AA24)&lt;=AD$4),AND(DATE(YEAR(AD$4),MONTH(AD$4),$AA24)&gt;=AD$3,DATE(YEAR(AD$4),MONTH(AD$4),$AA24)&lt;=AD$4)),'Kosten | Costs'!$D$28,0))</f>
        <v/>
      </c>
      <c r="AE24">
        <f>IF(N('Kosten | Costs'!$D$28)=0,0,IF(OR(AND(DATE(YEAR(AE$3),MONTH(AE$3),$AA24)&gt;=AE$3,DATE(YEAR(AE$3),MONTH(AE$3),$AA24)&lt;=AE$4),AND(DATE(YEAR(AE$4),MONTH(AE$4),$AA24)&gt;=AE$3,DATE(YEAR(AE$4),MONTH(AE$4),$AA24)&lt;=AE$4)),'Kosten | Costs'!$D$28,0))</f>
        <v/>
      </c>
      <c r="AF24">
        <f>IF(N('Kosten | Costs'!$D$28)=0,0,IF(OR(AND(DATE(YEAR(AF$3),MONTH(AF$3),$AA24)&gt;=AF$3,DATE(YEAR(AF$3),MONTH(AF$3),$AA24)&lt;=AF$4),AND(DATE(YEAR(AF$4),MONTH(AF$4),$AA24)&gt;=AF$3,DATE(YEAR(AF$4),MONTH(AF$4),$AA24)&lt;=AF$4)),'Kosten | Costs'!$D$28,0))</f>
        <v/>
      </c>
      <c r="AG24">
        <f>IF(N('Kosten | Costs'!$D$28)=0,0,IF(OR(AND(DATE(YEAR(AG$3),MONTH(AG$3),$AA24)&gt;=AG$3,DATE(YEAR(AG$3),MONTH(AG$3),$AA24)&lt;=AG$4),AND(DATE(YEAR(AG$4),MONTH(AG$4),$AA24)&gt;=AG$3,DATE(YEAR(AG$4),MONTH(AG$4),$AA24)&lt;=AG$4)),'Kosten | Costs'!$D$28,0))</f>
        <v/>
      </c>
      <c r="AH24">
        <f>IF(N('Kosten | Costs'!$D$28)=0,0,IF(OR(AND(DATE(YEAR(AH$3),MONTH(AH$3),$AA24)&gt;=AH$3,DATE(YEAR(AH$3),MONTH(AH$3),$AA24)&lt;=AH$4),AND(DATE(YEAR(AH$4),MONTH(AH$4),$AA24)&gt;=AH$3,DATE(YEAR(AH$4),MONTH(AH$4),$AA24)&lt;=AH$4)),'Kosten | Costs'!$D$28,0))</f>
        <v/>
      </c>
      <c r="AI24">
        <f>IF(N('Kosten | Costs'!$D$28)=0,0,IF(OR(AND(DATE(YEAR(AI$3),MONTH(AI$3),$AA24)&gt;=AI$3,DATE(YEAR(AI$3),MONTH(AI$3),$AA24)&lt;=AI$4),AND(DATE(YEAR(AI$4),MONTH(AI$4),$AA24)&gt;=AI$3,DATE(YEAR(AI$4),MONTH(AI$4),$AA24)&lt;=AI$4)),'Kosten | Costs'!$D$28,0))</f>
        <v/>
      </c>
      <c r="AJ24">
        <f>IF(N('Kosten | Costs'!$D$28)=0,0,IF(OR(AND(DATE(YEAR(AJ$3),MONTH(AJ$3),$AA24)&gt;=AJ$3,DATE(YEAR(AJ$3),MONTH(AJ$3),$AA24)&lt;=AJ$4),AND(DATE(YEAR(AJ$4),MONTH(AJ$4),$AA24)&gt;=AJ$3,DATE(YEAR(AJ$4),MONTH(AJ$4),$AA24)&lt;=AJ$4)),'Kosten | Costs'!$D$28,0))</f>
        <v/>
      </c>
      <c r="AK24">
        <f>IF(N('Kosten | Costs'!$D$28)=0,0,IF(OR(AND(DATE(YEAR(AK$3),MONTH(AK$3),$AA24)&gt;=AK$3,DATE(YEAR(AK$3),MONTH(AK$3),$AA24)&lt;=AK$4),AND(DATE(YEAR(AK$4),MONTH(AK$4),$AA24)&gt;=AK$3,DATE(YEAR(AK$4),MONTH(AK$4),$AA24)&lt;=AK$4)),'Kosten | Costs'!$D$28,0))</f>
        <v/>
      </c>
      <c r="AL24">
        <f>IF(N('Kosten | Costs'!$D$28)=0,0,IF(OR(AND(DATE(YEAR(AL$3),MONTH(AL$3),$AA24)&gt;=AL$3,DATE(YEAR(AL$3),MONTH(AL$3),$AA24)&lt;=AL$4),AND(DATE(YEAR(AL$4),MONTH(AL$4),$AA24)&gt;=AL$3,DATE(YEAR(AL$4),MONTH(AL$4),$AA24)&lt;=AL$4)),'Kosten | Costs'!$D$28,0))</f>
        <v/>
      </c>
      <c r="AM24">
        <f>IF(N('Kosten | Costs'!$D$28)=0,0,IF(OR(AND(DATE(YEAR(AM$3),MONTH(AM$3),$AA24)&gt;=AM$3,DATE(YEAR(AM$3),MONTH(AM$3),$AA24)&lt;=AM$4),AND(DATE(YEAR(AM$4),MONTH(AM$4),$AA24)&gt;=AM$3,DATE(YEAR(AM$4),MONTH(AM$4),$AA24)&lt;=AM$4)),'Kosten | Costs'!$D$28,0))</f>
        <v/>
      </c>
    </row>
    <row r="25">
      <c r="A25" s="107" t="inlineStr">
        <is>
          <t>sec.settings</t>
        </is>
      </c>
      <c r="B25" s="113" t="inlineStr">
        <is>
          <t>Einstellungen</t>
        </is>
      </c>
      <c r="C25" s="113" t="inlineStr">
        <is>
          <t>Settings</t>
        </is>
      </c>
      <c r="J25" s="113">
        <f>IFERROR(INDEX('Rechnungen | Invoices'!$C$9:$C$108,MATCH(0,INDEX(COUNTIF($J$4:J24,'Rechnungen | Invoices'!$C$9:$C$108)+('Rechnungen | Invoices'!$C$9:$C$108=""),0),0)),"")</f>
        <v/>
      </c>
      <c r="AB25">
        <f>SUM(AB5:AB24)</f>
        <v/>
      </c>
      <c r="AC25">
        <f>SUM(AC5:AC24)</f>
        <v/>
      </c>
      <c r="AD25">
        <f>SUM(AD5:AD24)</f>
        <v/>
      </c>
      <c r="AE25">
        <f>SUM(AE5:AE24)</f>
        <v/>
      </c>
      <c r="AF25">
        <f>SUM(AF5:AF24)</f>
        <v/>
      </c>
      <c r="AG25">
        <f>SUM(AG5:AG24)</f>
        <v/>
      </c>
      <c r="AH25">
        <f>SUM(AH5:AH24)</f>
        <v/>
      </c>
      <c r="AI25">
        <f>SUM(AI5:AI24)</f>
        <v/>
      </c>
      <c r="AJ25">
        <f>SUM(AJ5:AJ24)</f>
        <v/>
      </c>
      <c r="AK25">
        <f>SUM(AK5:AK24)</f>
        <v/>
      </c>
      <c r="AL25">
        <f>SUM(AL5:AL24)</f>
        <v/>
      </c>
      <c r="AM25">
        <f>SUM(AM5:AM24)</f>
        <v/>
      </c>
    </row>
    <row r="26">
      <c r="A26" s="107" t="inlineStr">
        <is>
          <t>sec.help</t>
        </is>
      </c>
      <c r="B26" s="113" t="inlineStr">
        <is>
          <t>So funktioniert es</t>
        </is>
      </c>
      <c r="C26" s="113" t="inlineStr">
        <is>
          <t>How it works</t>
        </is>
      </c>
      <c r="J26" s="113">
        <f>IFERROR(INDEX('Rechnungen | Invoices'!$C$9:$C$108,MATCH(0,INDEX(COUNTIF($J$4:J25,'Rechnungen | Invoices'!$C$9:$C$108)+('Rechnungen | Invoices'!$C$9:$C$108=""),0),0)),"")</f>
        <v/>
      </c>
    </row>
    <row r="27">
      <c r="A27" s="107" t="inlineStr">
        <is>
          <t>th.week</t>
        </is>
      </c>
      <c r="B27" s="113" t="inlineStr">
        <is>
          <t>Woche</t>
        </is>
      </c>
      <c r="C27" s="113" t="inlineStr">
        <is>
          <t>Week</t>
        </is>
      </c>
      <c r="J27" s="113">
        <f>IFERROR(INDEX('Rechnungen | Invoices'!$C$9:$C$108,MATCH(0,INDEX(COUNTIF($J$4:J26,'Rechnungen | Invoices'!$C$9:$C$108)+('Rechnungen | Invoices'!$C$9:$C$108=""),0),0)),"")</f>
        <v/>
      </c>
    </row>
    <row r="28">
      <c r="A28" s="107" t="inlineStr">
        <is>
          <t>th.from</t>
        </is>
      </c>
      <c r="B28" s="113" t="inlineStr">
        <is>
          <t>Woche ab</t>
        </is>
      </c>
      <c r="C28" s="113" t="inlineStr">
        <is>
          <t>Week from</t>
        </is>
      </c>
      <c r="J28" s="113">
        <f>IFERROR(INDEX('Rechnungen | Invoices'!$C$9:$C$108,MATCH(0,INDEX(COUNTIF($J$4:J27,'Rechnungen | Invoices'!$C$9:$C$108)+('Rechnungen | Invoices'!$C$9:$C$108=""),0),0)),"")</f>
        <v/>
      </c>
    </row>
    <row r="29">
      <c r="A29" s="107" t="inlineStr">
        <is>
          <t>th.in</t>
        </is>
      </c>
      <c r="B29" s="113" t="inlineStr">
        <is>
          <t>Einzahlungen</t>
        </is>
      </c>
      <c r="C29" s="113" t="inlineStr">
        <is>
          <t>Money in</t>
        </is>
      </c>
      <c r="J29" s="113">
        <f>IFERROR(INDEX('Rechnungen | Invoices'!$C$9:$C$108,MATCH(0,INDEX(COUNTIF($J$4:J28,'Rechnungen | Invoices'!$C$9:$C$108)+('Rechnungen | Invoices'!$C$9:$C$108=""),0),0)),"")</f>
        <v/>
      </c>
    </row>
    <row r="30">
      <c r="A30" s="107" t="inlineStr">
        <is>
          <t>th.out</t>
        </is>
      </c>
      <c r="B30" s="113" t="inlineStr">
        <is>
          <t>Auszahlungen</t>
        </is>
      </c>
      <c r="C30" s="113" t="inlineStr">
        <is>
          <t>Money out</t>
        </is>
      </c>
      <c r="J30" s="113">
        <f>IFERROR(INDEX('Rechnungen | Invoices'!$C$9:$C$108,MATCH(0,INDEX(COUNTIF($J$4:J29,'Rechnungen | Invoices'!$C$9:$C$108)+('Rechnungen | Invoices'!$C$9:$C$108=""),0),0)),"")</f>
        <v/>
      </c>
    </row>
    <row r="31">
      <c r="A31" s="107" t="inlineStr">
        <is>
          <t>th.base</t>
        </is>
      </c>
      <c r="B31" s="113" t="inlineStr">
        <is>
          <t>Saldo Basis</t>
        </is>
      </c>
      <c r="C31" s="113" t="inlineStr">
        <is>
          <t>Balance base</t>
        </is>
      </c>
      <c r="J31" s="113">
        <f>IFERROR(INDEX('Rechnungen | Invoices'!$C$9:$C$108,MATCH(0,INDEX(COUNTIF($J$4:J30,'Rechnungen | Invoices'!$C$9:$C$108)+('Rechnungen | Invoices'!$C$9:$C$108=""),0),0)),"")</f>
        <v/>
      </c>
    </row>
    <row r="32">
      <c r="A32" s="107" t="inlineStr">
        <is>
          <t>th.scn</t>
        </is>
      </c>
      <c r="B32" s="113" t="inlineStr">
        <is>
          <t>Saldo Szenario</t>
        </is>
      </c>
      <c r="C32" s="113" t="inlineStr">
        <is>
          <t>Balance scenario</t>
        </is>
      </c>
      <c r="J32" s="113">
        <f>IFERROR(INDEX('Rechnungen | Invoices'!$C$9:$C$108,MATCH(0,INDEX(COUNTIF($J$4:J31,'Rechnungen | Invoices'!$C$9:$C$108)+('Rechnungen | Invoices'!$C$9:$C$108=""),0),0)),"")</f>
        <v/>
      </c>
    </row>
    <row r="33">
      <c r="A33" s="107" t="inlineStr">
        <is>
          <t>lbl.week</t>
        </is>
      </c>
      <c r="B33" s="113" t="inlineStr">
        <is>
          <t>KW</t>
        </is>
      </c>
      <c r="C33" s="113" t="inlineStr">
        <is>
          <t>Wk</t>
        </is>
      </c>
      <c r="J33" s="113">
        <f>IFERROR(INDEX('Rechnungen | Invoices'!$C$9:$C$108,MATCH(0,INDEX(COUNTIF($J$4:J32,'Rechnungen | Invoices'!$C$9:$C$108)+('Rechnungen | Invoices'!$C$9:$C$108=""),0),0)),"")</f>
        <v/>
      </c>
    </row>
    <row r="34">
      <c r="A34" s="107" t="inlineStr">
        <is>
          <t>set.openbal</t>
        </is>
      </c>
      <c r="B34" s="113" t="inlineStr">
        <is>
          <t>Startkontostand</t>
        </is>
      </c>
      <c r="C34" s="113" t="inlineStr">
        <is>
          <t>Opening cash balance</t>
        </is>
      </c>
      <c r="J34" s="113">
        <f>IFERROR(INDEX('Rechnungen | Invoices'!$C$9:$C$108,MATCH(0,INDEX(COUNTIF($J$4:J33,'Rechnungen | Invoices'!$C$9:$C$108)+('Rechnungen | Invoices'!$C$9:$C$108=""),0),0)),"")</f>
        <v/>
      </c>
    </row>
    <row r="35">
      <c r="A35" s="107" t="inlineStr">
        <is>
          <t>set.mincash</t>
        </is>
      </c>
      <c r="B35" s="113" t="inlineStr">
        <is>
          <t>Mindestreserve</t>
        </is>
      </c>
      <c r="C35" s="113" t="inlineStr">
        <is>
          <t>Minimum reserve</t>
        </is>
      </c>
      <c r="J35" s="113">
        <f>IFERROR(INDEX('Rechnungen | Invoices'!$C$9:$C$108,MATCH(0,INDEX(COUNTIF($J$4:J34,'Rechnungen | Invoices'!$C$9:$C$108)+('Rechnungen | Invoices'!$C$9:$C$108=""),0),0)),"")</f>
        <v/>
      </c>
    </row>
    <row r="36">
      <c r="A36" s="107" t="inlineStr">
        <is>
          <t>set.yellow</t>
        </is>
      </c>
      <c r="B36" s="113" t="inlineStr">
        <is>
          <t>Gelb-Schwelle (× Reserve)</t>
        </is>
      </c>
      <c r="C36" s="113" t="inlineStr">
        <is>
          <t>Amber threshold (× reserve)</t>
        </is>
      </c>
      <c r="J36" s="113">
        <f>IFERROR(INDEX('Rechnungen | Invoices'!$C$9:$C$108,MATCH(0,INDEX(COUNTIF($J$4:J35,'Rechnungen | Invoices'!$C$9:$C$108)+('Rechnungen | Invoices'!$C$9:$C$108=""),0),0)),"")</f>
        <v/>
      </c>
    </row>
    <row r="37">
      <c r="A37" s="107" t="inlineStr">
        <is>
          <t>set.start</t>
        </is>
      </c>
      <c r="B37" s="113" t="inlineStr">
        <is>
          <t>Prognosestart (Montag)</t>
        </is>
      </c>
      <c r="C37" s="113" t="inlineStr">
        <is>
          <t>Forecast start (Monday)</t>
        </is>
      </c>
      <c r="J37" s="113">
        <f>IFERROR(INDEX('Rechnungen | Invoices'!$C$9:$C$108,MATCH(0,INDEX(COUNTIF($J$4:J36,'Rechnungen | Invoices'!$C$9:$C$108)+('Rechnungen | Invoices'!$C$9:$C$108=""),0),0)),"")</f>
        <v/>
      </c>
    </row>
    <row r="38">
      <c r="A38" s="107" t="inlineStr">
        <is>
          <t>set.vat</t>
        </is>
      </c>
      <c r="B38" s="113" t="inlineStr">
        <is>
          <t>Umsatzsteuer aktiv?</t>
        </is>
      </c>
      <c r="C38" s="113" t="inlineStr">
        <is>
          <t>VAT active?</t>
        </is>
      </c>
      <c r="J38" s="113">
        <f>IFERROR(INDEX('Rechnungen | Invoices'!$C$9:$C$108,MATCH(0,INDEX(COUNTIF($J$4:J37,'Rechnungen | Invoices'!$C$9:$C$108)+('Rechnungen | Invoices'!$C$9:$C$108=""),0),0)),"")</f>
        <v/>
      </c>
    </row>
    <row r="39">
      <c r="A39" s="107" t="inlineStr">
        <is>
          <t>set.vatday</t>
        </is>
      </c>
      <c r="B39" s="113" t="inlineStr">
        <is>
          <t>USt-Zahltag im Monat</t>
        </is>
      </c>
      <c r="C39" s="113" t="inlineStr">
        <is>
          <t>VAT payment day of month</t>
        </is>
      </c>
      <c r="J39" s="113">
        <f>IFERROR(INDEX('Rechnungen | Invoices'!$C$9:$C$108,MATCH(0,INDEX(COUNTIF($J$4:J38,'Rechnungen | Invoices'!$C$9:$C$108)+('Rechnungen | Invoices'!$C$9:$C$108=""),0),0)),"")</f>
        <v/>
      </c>
    </row>
    <row r="40">
      <c r="A40" s="107" t="inlineStr">
        <is>
          <t>set.hint</t>
        </is>
      </c>
      <c r="B40" s="113" t="inlineStr">
        <is>
          <t>Kleinunternehmer nach §19 UStG lassen die Umsatzsteuer auf »Nein«.</t>
        </is>
      </c>
      <c r="C40" s="113" t="inlineStr">
        <is>
          <t>Businesses exempt from VAT keep this setting on »No«.</t>
        </is>
      </c>
    </row>
    <row r="41">
      <c r="A41" s="107" t="inlineStr">
        <is>
          <t>ser.base</t>
        </is>
      </c>
      <c r="B41" s="113" t="inlineStr">
        <is>
          <t>Basis-Prognose</t>
        </is>
      </c>
      <c r="C41" s="113" t="inlineStr">
        <is>
          <t>Base forecast</t>
        </is>
      </c>
    </row>
    <row r="42">
      <c r="A42" s="107" t="inlineStr">
        <is>
          <t>ser.scn</t>
        </is>
      </c>
      <c r="B42" s="113" t="inlineStr">
        <is>
          <t>Szenario</t>
        </is>
      </c>
      <c r="C42" s="113" t="inlineStr">
        <is>
          <t>Scenario</t>
        </is>
      </c>
    </row>
    <row r="43">
      <c r="A43" s="107" t="inlineStr">
        <is>
          <t>ser.min</t>
        </is>
      </c>
      <c r="B43" s="113" t="inlineStr">
        <is>
          <t>Mindestreserve</t>
        </is>
      </c>
      <c r="C43" s="113" t="inlineStr">
        <is>
          <t>Minimum reserve</t>
        </is>
      </c>
    </row>
    <row r="44">
      <c r="A44" s="107" t="inlineStr">
        <is>
          <t>help.1</t>
        </is>
      </c>
      <c r="B44" s="113" t="inlineStr">
        <is>
          <t>1.  Tragen Sie im Tab »Rechnungen« Ihre offenen Rechnungen ein: Kunde, Betrag, Rechnungsdatum und Zahlungsziel in Tagen.</t>
        </is>
      </c>
      <c r="C44" s="113" t="inlineStr">
        <is>
          <t>1.  On the »Invoices« tab, enter your open invoices: customer, amount, invoice date and payment terms in days.</t>
        </is>
      </c>
    </row>
    <row r="45">
      <c r="A45" s="107" t="inlineStr">
        <is>
          <t>help.2</t>
        </is>
      </c>
      <c r="B45" s="113" t="inlineStr">
        <is>
          <t>2.  Erfassen Sie im Tab »Kosten« Ihre monatlichen Fixkosten sowie geplante Einmalausgaben mit Datum.</t>
        </is>
      </c>
      <c r="C45" s="113" t="inlineStr">
        <is>
          <t>2.  On the »Costs« tab, record your monthly fixed costs plus any planned one-off expenses with a date.</t>
        </is>
      </c>
    </row>
    <row r="46">
      <c r="A46" s="107" t="inlineStr">
        <is>
          <t>help.3</t>
        </is>
      </c>
      <c r="B46" s="113" t="inlineStr">
        <is>
          <t>3.  Stellen Sie rechts Ihren aktuellen Kontostand und Ihre Mindestreserve ein – den Betrag, den Sie nie unterschreiten möchten.</t>
        </is>
      </c>
      <c r="C46" s="113" t="inlineStr">
        <is>
          <t>3.  Set your current cash balance and minimum reserve on the right – the amount you never want to fall below.</t>
        </is>
      </c>
    </row>
    <row r="47">
      <c r="A47" s="107" t="inlineStr">
        <is>
          <t>help.4</t>
        </is>
      </c>
      <c r="B47" s="113" t="inlineStr">
        <is>
          <t>4.  Die farbige Wochenmarkierung zeigt sofort, wann es eng wird: Grün unbedenklich, Gelb kritische Annäherung, Rot unter der Reserve.</t>
        </is>
      </c>
      <c r="C47" s="113" t="inlineStr">
        <is>
          <t>4.  The coloured week marker shows immediately when things get tight: green is fine, amber is close, red is below the reserve.</t>
        </is>
      </c>
    </row>
    <row r="48">
      <c r="A48" s="107" t="inlineStr">
        <is>
          <t>help.5</t>
        </is>
      </c>
      <c r="B48" s="113" t="inlineStr">
        <is>
          <t>5.  Im Tab »Szenario« simulieren Sie, was passiert, wenn Kunden später oder gar nicht zahlen – die Prognose reagiert sofort.</t>
        </is>
      </c>
      <c r="C48" s="113" t="inlineStr">
        <is>
          <t>5.  On the »Scenario« tab, simulate what happens if customers pay late or not at all – the forecast reacts instantly.</t>
        </is>
      </c>
    </row>
    <row r="49">
      <c r="A49" s="107" t="inlineStr">
        <is>
          <t>foot.note</t>
        </is>
      </c>
      <c r="B49" s="113" t="inlineStr">
        <is>
          <t>Alle Beträge in Euro. Diese Datei enthält keine Makros und funktioniert in Microsoft Excel wie in Google Sheets.</t>
        </is>
      </c>
      <c r="C49" s="113" t="inlineStr">
        <is>
          <t>All amounts in euro. This file contains no macros and works in Microsoft Excel as well as Google Sheets.</t>
        </is>
      </c>
    </row>
    <row r="50">
      <c r="A50" s="107" t="inlineStr">
        <is>
          <t>inv.title</t>
        </is>
      </c>
      <c r="B50" s="113" t="inlineStr">
        <is>
          <t>Offene Rechnungen erfassen</t>
        </is>
      </c>
      <c r="C50" s="113" t="inlineStr">
        <is>
          <t>Record open invoices</t>
        </is>
      </c>
    </row>
    <row r="51">
      <c r="A51" s="107" t="inlineStr">
        <is>
          <t>inv.hint</t>
        </is>
      </c>
      <c r="B51" s="113" t="inlineStr">
        <is>
          <t>Weiße Felder ausfüllen, graue Felder rechnen sich selbst. Überfällige Rechnungen werden rot markiert und in der ersten Prognosewoche erwartet.</t>
        </is>
      </c>
      <c r="C51" s="113" t="inlineStr">
        <is>
          <t>Fill in the white fields; the grey fields calculate themselves. Overdue invoices are marked red and are expected in the first forecast week.</t>
        </is>
      </c>
    </row>
    <row r="52">
      <c r="A52" s="107" t="inlineStr">
        <is>
          <t>inv.h.no</t>
        </is>
      </c>
      <c r="B52" s="113" t="inlineStr">
        <is>
          <t>Nr.</t>
        </is>
      </c>
      <c r="C52" s="113" t="inlineStr">
        <is>
          <t>No.</t>
        </is>
      </c>
    </row>
    <row r="53">
      <c r="A53" s="107" t="inlineStr">
        <is>
          <t>inv.h.customer</t>
        </is>
      </c>
      <c r="B53" s="113" t="inlineStr">
        <is>
          <t>Kunde</t>
        </is>
      </c>
      <c r="C53" s="113" t="inlineStr">
        <is>
          <t>Customer</t>
        </is>
      </c>
    </row>
    <row r="54">
      <c r="A54" s="107" t="inlineStr">
        <is>
          <t>inv.h.invno</t>
        </is>
      </c>
      <c r="B54" s="113" t="inlineStr">
        <is>
          <t>Rechnungs-Nr.</t>
        </is>
      </c>
      <c r="C54" s="113" t="inlineStr">
        <is>
          <t>Invoice no.</t>
        </is>
      </c>
    </row>
    <row r="55">
      <c r="A55" s="107" t="inlineStr">
        <is>
          <t>inv.h.amount</t>
        </is>
      </c>
      <c r="B55" s="113" t="inlineStr">
        <is>
          <t>Betrag netto</t>
        </is>
      </c>
      <c r="C55" s="113" t="inlineStr">
        <is>
          <t>Amount net</t>
        </is>
      </c>
    </row>
    <row r="56">
      <c r="A56" s="107" t="inlineStr">
        <is>
          <t>inv.h.vat</t>
        </is>
      </c>
      <c r="B56" s="113" t="inlineStr">
        <is>
          <t>USt-Satz</t>
        </is>
      </c>
      <c r="C56" s="113" t="inlineStr">
        <is>
          <t>VAT rate</t>
        </is>
      </c>
    </row>
    <row r="57">
      <c r="A57" s="107" t="inlineStr">
        <is>
          <t>inv.h.gross</t>
        </is>
      </c>
      <c r="B57" s="113" t="inlineStr">
        <is>
          <t>Betrag brutto</t>
        </is>
      </c>
      <c r="C57" s="113" t="inlineStr">
        <is>
          <t>Gross amount</t>
        </is>
      </c>
    </row>
    <row r="58">
      <c r="A58" s="107" t="inlineStr">
        <is>
          <t>inv.h.date</t>
        </is>
      </c>
      <c r="B58" s="113" t="inlineStr">
        <is>
          <t>Rechnungsdatum</t>
        </is>
      </c>
      <c r="C58" s="113" t="inlineStr">
        <is>
          <t>Invoice date</t>
        </is>
      </c>
    </row>
    <row r="59">
      <c r="A59" s="107" t="inlineStr">
        <is>
          <t>inv.h.terms</t>
        </is>
      </c>
      <c r="B59" s="113" t="inlineStr">
        <is>
          <t>Zahlungsziel (Tage)</t>
        </is>
      </c>
      <c r="C59" s="113" t="inlineStr">
        <is>
          <t>Terms (days)</t>
        </is>
      </c>
    </row>
    <row r="60">
      <c r="A60" s="107" t="inlineStr">
        <is>
          <t>inv.h.due</t>
        </is>
      </c>
      <c r="B60" s="113" t="inlineStr">
        <is>
          <t>Fällig am</t>
        </is>
      </c>
      <c r="C60" s="113" t="inlineStr">
        <is>
          <t>Due date</t>
        </is>
      </c>
    </row>
    <row r="61">
      <c r="A61" s="107" t="inlineStr">
        <is>
          <t>inv.h.status</t>
        </is>
      </c>
      <c r="B61" s="113" t="inlineStr">
        <is>
          <t>Status</t>
        </is>
      </c>
      <c r="C61" s="113" t="inlineStr">
        <is>
          <t>Status</t>
        </is>
      </c>
    </row>
    <row r="62">
      <c r="A62" s="107" t="inlineStr">
        <is>
          <t>inv.h.expdate</t>
        </is>
      </c>
      <c r="B62" s="113" t="inlineStr">
        <is>
          <t>Erwarteter Eingang</t>
        </is>
      </c>
      <c r="C62" s="113" t="inlineStr">
        <is>
          <t>Expected receipt</t>
        </is>
      </c>
    </row>
    <row r="63">
      <c r="A63" s="107" t="inlineStr">
        <is>
          <t>inv.h.expamt</t>
        </is>
      </c>
      <c r="B63" s="113" t="inlineStr">
        <is>
          <t>Erwarteter Betrag</t>
        </is>
      </c>
      <c r="C63" s="113" t="inlineStr">
        <is>
          <t>Expected amount</t>
        </is>
      </c>
    </row>
    <row r="64">
      <c r="A64" s="107" t="inlineStr">
        <is>
          <t>inv.total</t>
        </is>
      </c>
      <c r="B64" s="113" t="inlineStr">
        <is>
          <t>Summe offener Forderungen</t>
        </is>
      </c>
      <c r="C64" s="113" t="inlineStr">
        <is>
          <t>Total open receivables</t>
        </is>
      </c>
    </row>
    <row r="65">
      <c r="A65" s="107" t="inlineStr">
        <is>
          <t>inv.calc</t>
        </is>
      </c>
      <c r="B65" s="113" t="inlineStr">
        <is>
          <t>berechnet – bitte nicht überschreiben</t>
        </is>
      </c>
      <c r="C65" s="113" t="inlineStr">
        <is>
          <t>calculated – please do not overwrite</t>
        </is>
      </c>
    </row>
    <row r="66">
      <c r="A66" s="107" t="inlineStr">
        <is>
          <t>inv.scnnote</t>
        </is>
      </c>
      <c r="B66" s="113" t="inlineStr">
        <is>
          <t>Diese beiden Spalten berücksichtigen Ihre Einstellungen im Tab »Szenario«.</t>
        </is>
      </c>
      <c r="C66" s="113" t="inlineStr">
        <is>
          <t>These two columns reflect your settings on the »Scenario« tab.</t>
        </is>
      </c>
    </row>
    <row r="67">
      <c r="A67" s="107" t="inlineStr">
        <is>
          <t>cost.title</t>
        </is>
      </c>
      <c r="B67" s="113" t="inlineStr">
        <is>
          <t>Kosten erfassen</t>
        </is>
      </c>
      <c r="C67" s="113" t="inlineStr">
        <is>
          <t>Record costs</t>
        </is>
      </c>
    </row>
    <row r="68">
      <c r="A68" s="107" t="inlineStr">
        <is>
          <t>cost.fixed</t>
        </is>
      </c>
      <c r="B68" s="113" t="inlineStr">
        <is>
          <t>Fixe monatliche Kosten</t>
        </is>
      </c>
      <c r="C68" s="113" t="inlineStr">
        <is>
          <t>Fixed monthly costs</t>
        </is>
      </c>
    </row>
    <row r="69">
      <c r="A69" s="107" t="inlineStr">
        <is>
          <t>cost.fixed.hint</t>
        </is>
      </c>
      <c r="B69" s="113" t="inlineStr">
        <is>
          <t>Kosten, die jeden Monat am gleichen Tag anfallen – Miete, Versicherungen, Abos, Leasing.</t>
        </is>
      </c>
      <c r="C69" s="113" t="inlineStr">
        <is>
          <t>Costs that recur every month on the same day – rent, insurance, subscriptions, leasing.</t>
        </is>
      </c>
    </row>
    <row r="70">
      <c r="A70" s="107" t="inlineStr">
        <is>
          <t>cost.var</t>
        </is>
      </c>
      <c r="B70" s="113" t="inlineStr">
        <is>
          <t>Variable und einmalige Kosten</t>
        </is>
      </c>
      <c r="C70" s="113" t="inlineStr">
        <is>
          <t>Variable and one-off costs</t>
        </is>
      </c>
    </row>
    <row r="71">
      <c r="A71" s="107" t="inlineStr">
        <is>
          <t>cost.var.hint</t>
        </is>
      </c>
      <c r="B71" s="113" t="inlineStr">
        <is>
          <t>Einzelausgaben mit konkretem Datum – Anschaffungen, Steuervorauszahlungen, Reisen, Kampagnen.</t>
        </is>
      </c>
      <c r="C71" s="113" t="inlineStr">
        <is>
          <t>Individual expenses with a specific date – purchases, tax prepayments, travel, campaigns.</t>
        </is>
      </c>
    </row>
    <row r="72">
      <c r="A72" s="107" t="inlineStr">
        <is>
          <t>cost.h.name</t>
        </is>
      </c>
      <c r="B72" s="113" t="inlineStr">
        <is>
          <t>Bezeichnung</t>
        </is>
      </c>
      <c r="C72" s="113" t="inlineStr">
        <is>
          <t>Description</t>
        </is>
      </c>
    </row>
    <row r="73">
      <c r="A73" s="107" t="inlineStr">
        <is>
          <t>cost.h.cat</t>
        </is>
      </c>
      <c r="B73" s="113" t="inlineStr">
        <is>
          <t>Kategorie</t>
        </is>
      </c>
      <c r="C73" s="113" t="inlineStr">
        <is>
          <t>Category</t>
        </is>
      </c>
    </row>
    <row r="74">
      <c r="A74" s="107" t="inlineStr">
        <is>
          <t>cost.h.month</t>
        </is>
      </c>
      <c r="B74" s="113" t="inlineStr">
        <is>
          <t>Betrag pro Monat</t>
        </is>
      </c>
      <c r="C74" s="113" t="inlineStr">
        <is>
          <t>Amount per month</t>
        </is>
      </c>
    </row>
    <row r="75">
      <c r="A75" s="107" t="inlineStr">
        <is>
          <t>cost.h.day</t>
        </is>
      </c>
      <c r="B75" s="113" t="inlineStr">
        <is>
          <t>Fällig am Tag (1–28)</t>
        </is>
      </c>
      <c r="C75" s="113" t="inlineStr">
        <is>
          <t>Due on day (1–28)</t>
        </is>
      </c>
    </row>
    <row r="76">
      <c r="A76" s="107" t="inlineStr">
        <is>
          <t>cost.h.amount</t>
        </is>
      </c>
      <c r="B76" s="113" t="inlineStr">
        <is>
          <t>Betrag</t>
        </is>
      </c>
      <c r="C76" s="113" t="inlineStr">
        <is>
          <t>Amount</t>
        </is>
      </c>
    </row>
    <row r="77">
      <c r="A77" s="107" t="inlineStr">
        <is>
          <t>cost.h.date</t>
        </is>
      </c>
      <c r="B77" s="113" t="inlineStr">
        <is>
          <t>Datum</t>
        </is>
      </c>
      <c r="C77" s="113" t="inlineStr">
        <is>
          <t>Date</t>
        </is>
      </c>
    </row>
    <row r="78">
      <c r="A78" s="107" t="inlineStr">
        <is>
          <t>cost.sum.fixed</t>
        </is>
      </c>
      <c r="B78" s="113" t="inlineStr">
        <is>
          <t>Summe Fixkosten pro Monat</t>
        </is>
      </c>
      <c r="C78" s="113" t="inlineStr">
        <is>
          <t>Total fixed costs per month</t>
        </is>
      </c>
    </row>
    <row r="79">
      <c r="A79" s="107" t="inlineStr">
        <is>
          <t>cost.sum.var</t>
        </is>
      </c>
      <c r="B79" s="113" t="inlineStr">
        <is>
          <t>Summe variable Kosten</t>
        </is>
      </c>
      <c r="C79" s="113" t="inlineStr">
        <is>
          <t>Total variable costs</t>
        </is>
      </c>
    </row>
    <row r="80">
      <c r="A80" s="107" t="inlineStr">
        <is>
          <t>scn.title</t>
        </is>
      </c>
      <c r="B80" s="113" t="inlineStr">
        <is>
          <t>Szenario-Simulation</t>
        </is>
      </c>
      <c r="C80" s="113" t="inlineStr">
        <is>
          <t>Scenario simulation</t>
        </is>
      </c>
    </row>
    <row r="81">
      <c r="A81" s="107" t="inlineStr">
        <is>
          <t>scn.hint</t>
        </is>
      </c>
      <c r="B81" s="113" t="inlineStr">
        <is>
          <t>Verändern Sie die drei Werte und beobachten Sie, wie Prognose und Ampel sofort reagieren – auch auf dem Dashboard.</t>
        </is>
      </c>
      <c r="C81" s="113" t="inlineStr">
        <is>
          <t>Change the three values below and watch the forecast and warning lights react instantly – on the dashboard too.</t>
        </is>
      </c>
    </row>
    <row r="82">
      <c r="A82" s="107" t="inlineStr">
        <is>
          <t>scn.controls</t>
        </is>
      </c>
      <c r="B82" s="113" t="inlineStr">
        <is>
          <t>Simulations-Regler</t>
        </is>
      </c>
      <c r="C82" s="113" t="inlineStr">
        <is>
          <t>Simulation controls</t>
        </is>
      </c>
    </row>
    <row r="83">
      <c r="A83" s="107" t="inlineStr">
        <is>
          <t>scn.delay_all</t>
        </is>
      </c>
      <c r="B83" s="113" t="inlineStr">
        <is>
          <t>Zahlungsverzug aller Kunden</t>
        </is>
      </c>
      <c r="C83" s="113" t="inlineStr">
        <is>
          <t>Payment delay, all customers</t>
        </is>
      </c>
    </row>
    <row r="84">
      <c r="A84" s="107" t="inlineStr">
        <is>
          <t>scn.delay_all.h</t>
        </is>
      </c>
      <c r="B84" s="113" t="inlineStr">
        <is>
          <t>Alle offenen Rechnungen gehen um so viele Tage später ein.</t>
        </is>
      </c>
      <c r="C84" s="113" t="inlineStr">
        <is>
          <t>Every open invoice is received this many days later.</t>
        </is>
      </c>
    </row>
    <row r="85">
      <c r="A85" s="107" t="inlineStr">
        <is>
          <t>scn.customer</t>
        </is>
      </c>
      <c r="B85" s="113" t="inlineStr">
        <is>
          <t>Kunde auswählen</t>
        </is>
      </c>
      <c r="C85" s="113" t="inlineStr">
        <is>
          <t>Select customer</t>
        </is>
      </c>
    </row>
    <row r="86">
      <c r="A86" s="107" t="inlineStr">
        <is>
          <t>scn.customer.h</t>
        </is>
      </c>
      <c r="B86" s="113" t="inlineStr">
        <is>
          <t>Für diesen einen Kunden gelten die beiden Werte darunter zusätzlich.</t>
        </is>
      </c>
      <c r="C86" s="113" t="inlineStr">
        <is>
          <t>The two values below apply additionally to this one customer.</t>
        </is>
      </c>
    </row>
    <row r="87">
      <c r="A87" s="107" t="inlineStr">
        <is>
          <t>scn.delay_cust</t>
        </is>
      </c>
      <c r="B87" s="113" t="inlineStr">
        <is>
          <t>Zusätzlicher Verzug dieses Kunden</t>
        </is>
      </c>
      <c r="C87" s="113" t="inlineStr">
        <is>
          <t>Additional delay for this customer</t>
        </is>
      </c>
    </row>
    <row r="88">
      <c r="A88" s="107" t="inlineStr">
        <is>
          <t>scn.delay_cust.h</t>
        </is>
      </c>
      <c r="B88" s="113" t="inlineStr">
        <is>
          <t>Kommt zum allgemeinen Verzug oben hinzu.</t>
        </is>
      </c>
      <c r="C88" s="113" t="inlineStr">
        <is>
          <t>Added on top of the general delay above.</t>
        </is>
      </c>
    </row>
    <row r="89">
      <c r="A89" s="107" t="inlineStr">
        <is>
          <t>scn.loss</t>
        </is>
      </c>
      <c r="B89" s="113" t="inlineStr">
        <is>
          <t>Forderungsausfall dieses Kunden</t>
        </is>
      </c>
      <c r="C89" s="113" t="inlineStr">
        <is>
          <t>Bad debt of this customer</t>
        </is>
      </c>
    </row>
    <row r="90">
      <c r="A90" s="107" t="inlineStr">
        <is>
          <t>scn.loss.h</t>
        </is>
      </c>
      <c r="B90" s="113" t="inlineStr">
        <is>
          <t>100 % bedeutet: Dieser Kunde zahlt gar nicht mehr.</t>
        </is>
      </c>
      <c r="C90" s="113" t="inlineStr">
        <is>
          <t>100 % means: this customer does not pay at all.</t>
        </is>
      </c>
    </row>
    <row r="91">
      <c r="A91" s="107" t="inlineStr">
        <is>
          <t>scn.days</t>
        </is>
      </c>
      <c r="B91" s="113" t="inlineStr">
        <is>
          <t>Tage</t>
        </is>
      </c>
      <c r="C91" s="113" t="inlineStr">
        <is>
          <t>days</t>
        </is>
      </c>
    </row>
    <row r="92">
      <c r="A92" s="107" t="inlineStr">
        <is>
          <t>scn.reset</t>
        </is>
      </c>
      <c r="B92" s="113" t="inlineStr">
        <is>
          <t>Alle drei Werte auf 0 setzen = keine Simulation, Szenario entspricht der Basis.</t>
        </is>
      </c>
      <c r="C92" s="113" t="inlineStr">
        <is>
          <t>Set all three values to 0 = no simulation, the scenario equals the base case.</t>
        </is>
      </c>
    </row>
    <row r="93">
      <c r="A93" s="107" t="inlineStr">
        <is>
          <t>scn.impact</t>
        </is>
      </c>
      <c r="B93" s="113" t="inlineStr">
        <is>
          <t>Auswirkung auf die Prognose</t>
        </is>
      </c>
      <c r="C93" s="113" t="inlineStr">
        <is>
          <t>Impact on the forecast</t>
        </is>
      </c>
    </row>
    <row r="94">
      <c r="A94" s="107" t="inlineStr">
        <is>
          <t>scn.h.diff</t>
        </is>
      </c>
      <c r="B94" s="113" t="inlineStr">
        <is>
          <t>Differenz</t>
        </is>
      </c>
      <c r="C94" s="113" t="inlineStr">
        <is>
          <t>Difference</t>
        </is>
      </c>
    </row>
    <row r="95">
      <c r="A95" s="107" t="inlineStr">
        <is>
          <t>scn.low.base</t>
        </is>
      </c>
      <c r="B95" s="113" t="inlineStr">
        <is>
          <t>Tiefststand Basis</t>
        </is>
      </c>
      <c r="C95" s="113" t="inlineStr">
        <is>
          <t>Lowest point, base</t>
        </is>
      </c>
    </row>
    <row r="96">
      <c r="A96" s="107" t="inlineStr">
        <is>
          <t>scn.low.scn</t>
        </is>
      </c>
      <c r="B96" s="113" t="inlineStr">
        <is>
          <t>Tiefststand Szenario</t>
        </is>
      </c>
      <c r="C96" s="113" t="inlineStr">
        <is>
          <t>Lowest point, scenario</t>
        </is>
      </c>
    </row>
    <row r="97">
      <c r="A97" s="107" t="inlineStr">
        <is>
          <t>scn.gap</t>
        </is>
      </c>
      <c r="B97" s="113" t="inlineStr">
        <is>
          <t>Verschlechterung</t>
        </is>
      </c>
      <c r="C97" s="113" t="inlineStr">
        <is>
          <t>Deterioration</t>
        </is>
      </c>
    </row>
    <row r="98">
      <c r="A98" s="107" t="inlineStr">
        <is>
          <t>scn.firstwarn</t>
        </is>
      </c>
      <c r="B98" s="113" t="inlineStr">
        <is>
          <t>Erste Warnwoche</t>
        </is>
      </c>
      <c r="C98" s="113" t="inlineStr">
        <is>
          <t>First warning week</t>
        </is>
      </c>
    </row>
    <row r="99">
      <c r="A99" s="107" t="inlineStr">
        <is>
          <t>scn.none</t>
        </is>
      </c>
      <c r="B99" s="113" t="inlineStr">
        <is>
          <t>keine</t>
        </is>
      </c>
      <c r="C99" s="113" t="inlineStr">
        <is>
          <t>none</t>
        </is>
      </c>
    </row>
    <row r="100">
      <c r="A100" s="107" t="inlineStr">
        <is>
          <t>scn.chart</t>
        </is>
      </c>
      <c r="B100" s="113" t="inlineStr">
        <is>
          <t>Basis gegen Szenario</t>
        </is>
      </c>
      <c r="C100" s="113" t="inlineStr">
        <is>
          <t>Base versus scenario</t>
        </is>
      </c>
    </row>
    <row r="101">
      <c r="A101" s="107" t="inlineStr">
        <is>
          <t>val.open</t>
        </is>
      </c>
      <c r="B101" s="113" t="inlineStr">
        <is>
          <t>offen</t>
        </is>
      </c>
      <c r="C101" s="113" t="inlineStr">
        <is>
          <t>open</t>
        </is>
      </c>
    </row>
    <row r="102">
      <c r="A102" s="107" t="inlineStr">
        <is>
          <t>val.paid</t>
        </is>
      </c>
      <c r="B102" s="113" t="inlineStr">
        <is>
          <t>bezahlt</t>
        </is>
      </c>
      <c r="C102" s="113" t="inlineStr">
        <is>
          <t>paid</t>
        </is>
      </c>
    </row>
    <row r="103">
      <c r="A103" s="107" t="inlineStr">
        <is>
          <t>val.yes</t>
        </is>
      </c>
      <c r="B103" s="113" t="inlineStr">
        <is>
          <t>Ja</t>
        </is>
      </c>
      <c r="C103" s="113" t="inlineStr">
        <is>
          <t>Yes</t>
        </is>
      </c>
    </row>
    <row r="104">
      <c r="A104" s="107" t="inlineStr">
        <is>
          <t>val.no</t>
        </is>
      </c>
      <c r="B104" s="113" t="inlineStr">
        <is>
          <t>Nein</t>
        </is>
      </c>
      <c r="C104" s="1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2026-08-09T10:33:18Z</dcterms:created>
  <dcterms:modified xsi:type="dcterms:W3CDTF">2026-08-09T10:33:19Z</dcterms:modified>
</cp:coreProperties>
</file>